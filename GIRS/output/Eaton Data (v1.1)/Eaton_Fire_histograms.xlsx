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3.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zair\Desktop\GIRS\output\Eaton Data (v1.1)\"/>
    </mc:Choice>
  </mc:AlternateContent>
  <xr:revisionPtr revIDLastSave="0" documentId="13_ncr:1_{67D7C5DE-7AB1-4305-A38F-0B275B7FFCBD}" xr6:coauthVersionLast="47" xr6:coauthVersionMax="47" xr10:uidLastSave="{00000000-0000-0000-0000-000000000000}"/>
  <bookViews>
    <workbookView xWindow="-110" yWindow="-110" windowWidth="22780" windowHeight="14540" xr2:uid="{00000000-000D-0000-FFFF-FFFF00000000}"/>
  </bookViews>
  <sheets>
    <sheet name="All Comments" sheetId="1" r:id="rId1"/>
    <sheet name="Detection" sheetId="2" r:id="rId2"/>
    <sheet name="Notification" sheetId="3" r:id="rId3"/>
    <sheet name="Preparation" sheetId="4" r:id="rId4"/>
    <sheet name="Evacuation" sheetId="5" r:id="rId5"/>
  </sheets>
  <definedNames>
    <definedName name="_xlnm._FilterDatabase" localSheetId="4" hidden="1">Evacuation!$B$1:$B$61</definedName>
    <definedName name="_xlnm._FilterDatabase" localSheetId="2" hidden="1">Notification!$A$1:$A$361</definedName>
    <definedName name="_xlnm._FilterDatabase" localSheetId="3" hidden="1">Preparation!$B$1:$B$16</definedName>
    <definedName name="_xlchart.v1.0" hidden="1">Notification!$D$1</definedName>
    <definedName name="_xlchart.v1.1" hidden="1">Notification!$D$2:$D$232</definedName>
    <definedName name="_xlchart.v1.2" hidden="1">Preparation!$D$1</definedName>
    <definedName name="_xlchart.v1.3" hidden="1">Preparation!$D$2:$D$16</definedName>
    <definedName name="_xlchart.v1.4" hidden="1">Evacuation!$D$1</definedName>
    <definedName name="_xlchart.v1.5" hidden="1">Evacuation!$D$2:$D$61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5" l="1"/>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2" i="5"/>
  <c r="E3" i="4"/>
  <c r="E4" i="4"/>
  <c r="E5" i="4"/>
  <c r="E6" i="4"/>
  <c r="E7" i="4"/>
  <c r="E8" i="4"/>
  <c r="E9" i="4"/>
  <c r="E10" i="4"/>
  <c r="E11" i="4"/>
  <c r="E12" i="4"/>
  <c r="E13" i="4"/>
  <c r="E14" i="4"/>
  <c r="E15" i="4"/>
  <c r="E16" i="4"/>
  <c r="E2" i="4"/>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2" i="3"/>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2" i="5"/>
  <c r="D3" i="3"/>
  <c r="D3" i="4"/>
  <c r="D4" i="4"/>
  <c r="D5" i="4"/>
  <c r="D6" i="4"/>
  <c r="D7" i="4"/>
  <c r="D8" i="4"/>
  <c r="D9" i="4"/>
  <c r="D10" i="4"/>
  <c r="D11" i="4"/>
  <c r="D12" i="4"/>
  <c r="D13" i="4"/>
  <c r="D14" i="4"/>
  <c r="D15" i="4"/>
  <c r="D16" i="4"/>
  <c r="D2" i="4"/>
  <c r="D2"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5" i="3"/>
  <c r="D4" i="3"/>
  <c r="D2" i="2"/>
  <c r="D3" i="2"/>
</calcChain>
</file>

<file path=xl/sharedStrings.xml><?xml version="1.0" encoding="utf-8"?>
<sst xmlns="http://schemas.openxmlformats.org/spreadsheetml/2006/main" count="2078" uniqueCount="635">
  <si>
    <t>fire_name</t>
  </si>
  <si>
    <t>stage</t>
  </si>
  <si>
    <t>like_count</t>
  </si>
  <si>
    <t>text</t>
  </si>
  <si>
    <t>Eaton Fire</t>
  </si>
  <si>
    <t>notification</t>
  </si>
  <si>
    <t>2025-01-09T08:37:52Z</t>
  </si>
  <si>
    <t>Those poor souls... Yah please help ease their pain! My home town up in smoke; it (this devastation) hits different when it's your childhood town. I have been following the news all day. I just woke up 2 in the morning to catch up! We're all praying for help to stop the carnage!</t>
  </si>
  <si>
    <t>2025-01-08T18:44:47Z</t>
  </si>
  <si>
    <t>Trump warned Newsom about this!</t>
  </si>
  <si>
    <t>evacuation</t>
  </si>
  <si>
    <t>2025-01-17T20:18:10Z</t>
  </si>
  <si>
    <t>🚨Please check out The City of Pasadena’s website. 
I wanted to see if the evacuation order in my area was lifted, instead I found, 
“Eaton Fire Repopulation Zone Viewer”, 3 days into the fire. 😳
Please look it up for yourself!
Why would the city title this “Repopulation Viewer” instead of evacuation viewer???
Something nefarious is going on!!!!
And the city is in on it, along with greedy gruesome!</t>
  </si>
  <si>
    <t>2025-01-17T15:28:50Z</t>
  </si>
  <si>
    <t>This is misinformation, Gavin Newsome and the Crats say there is water so there is water.</t>
  </si>
  <si>
    <t>2025-01-16T13:17:07Z</t>
  </si>
  <si>
    <t>Look into the number of bulldozers bought for fire prevention in California over the last ten years .  Then look at how complicated California made it to operate a bulldozer for fire prevention in California .   You might want to do a news story on that one .</t>
  </si>
  <si>
    <t>2025-01-16T13:06:40Z</t>
  </si>
  <si>
    <t>WHY DO THESE REPORTERS HAVE TO ROLL THEIR WORDS WHEN SHE SAYS CALAVERAS?? ITVIS ANNOYING AF!</t>
  </si>
  <si>
    <t>2025-01-15T01:59:48Z</t>
  </si>
  <si>
    <t>🦉Residents have said that they're not allowed to enter &amp; one man recorded on his ph of being told he can't survey his property that he could see from inside his vehicle but was told he wasn't permitted to go in ...
😏 YET, newscasters can❓️🤔</t>
  </si>
  <si>
    <t>preparation</t>
  </si>
  <si>
    <t>2025-01-12T08:02:05Z</t>
  </si>
  <si>
    <t>Not enough people fighting the fire when it's just a small bush fire around the house -- all ran away and it's impossible to rely on the limit firefighters to save their houses. People should develope a plan, prepared to stay and help put out the small fire around the yard before it burned the house and became 100' tall fire. Stucco wall and tile roof won't catch fire easy. It needs  human or robot to fight the small fires, not the fire Dept.
This area are new big beautiful houses.</t>
  </si>
  <si>
    <t>2025-01-09T16:38:57Z</t>
  </si>
  <si>
    <t>i evacuated at 5 AM yesterday not knowing if my house would be standing when i get back. i don't know if it really is still there</t>
  </si>
  <si>
    <t>2025-01-09T01:20:07Z</t>
  </si>
  <si>
    <t>Sad news.
God bless America</t>
  </si>
  <si>
    <t>2025-01-09T01:17:57Z</t>
  </si>
  <si>
    <t>If the fires get much worse I hope the insurance companies can cover all the losses.  I heard some people say there were houses that cost upwards of $10 million but there were also cases of houses that had their insurance policies canceled due to fire risk.  It's just that if 1,000 homes are completely destroyed, insurance claims could be in the hundreds of millions.  I don't think most insurance companies could quickly come up with that amount of money and even if they do, it will probably be the last time they would offer policies to any homeowners in those fire-prone areas.  I never thought those fires could reach down into the residential areas in Los Angeles but with the strong winds blowing embers for miles it seems it can happen.  The more area the fire covers, the fire fighters become thinned out.  How many hours can a fire fighter go without rest or sleep while fires keep popping up.  That's a scary scenario that no one is prepared for.
I had wondered why no airdrops were being done but I didn't know they couldn't fly in heavy wind.  They need to drop fire-retardant to stop houses from easily igniting from sparks.  Four major fires all in different areas will be hard to control with limited resources.</t>
  </si>
  <si>
    <t>2025-01-09T00:44:03Z</t>
  </si>
  <si>
    <t>Land developers really packed buildings in tight and in tough places to defend.</t>
  </si>
  <si>
    <t>2025-01-09T00:07:00Z</t>
  </si>
  <si>
    <t>EVACUATE NOW! DON'T BE LIKE THOSE WHO REMAIN TRAP. PRAYING  FOR SAFETY. 🙏🙏🙏🙏🙏🙏</t>
  </si>
  <si>
    <t>2025-01-08T22:59:19Z</t>
  </si>
  <si>
    <t>Just learned that a co-worker lost his home in Altadena and another friend has evacuated his family from their 1st home. It's just heartbreaking</t>
  </si>
  <si>
    <t>2025-01-08T22:08:17Z</t>
  </si>
  <si>
    <t>My mother's in assisted living in Arcadia and I know they evacuated half of Arcadia. Her facility's been without electricity for a day now and she's on the 2nd floor and can't use the elevator. The phones aren't working at the facility and my mom's phone lost battery so I can't get in contact and I'm watching all of this from New Jersey. I just hope they contain this fire before it comes down the mountain to the surrounding buildings even more.
Growing up in Southern California in the San Gabriel Valley, I recall seeing fires in the mountains every summer but they were always contained and never came down the mountains. Now it's seems like they are so powerful and devastating and he's right, it's really dry there now, more so then I remember as a child in the 70's and 80s.</t>
  </si>
  <si>
    <t>2025-01-09T01:40:44Z</t>
  </si>
  <si>
    <t>Gavin Newsom 2028 !!</t>
  </si>
  <si>
    <t>2025-01-08T23:16:48Z</t>
  </si>
  <si>
    <t>Your governor Gavin Newsom should resign for his incompetence</t>
  </si>
  <si>
    <t>2025-01-08T23:11:46Z</t>
  </si>
  <si>
    <t>Guarantee half the people driving on these streets have no business being there and are just slowing down those who do need to be there and also consuming resources (fuel) and setting themselves up to be one more person in trouble needing assistance. Yes, many are trying to evacuate and that's legit, but most are just lookylous getting in the way. I'd like to blame it on "California idiots" but this really does happen everywhere. I only worked emergency relief once long ago and am not a professional by any means, but I am intelligent enough to know that all I am likely to contribute in such a situation is to make things worse, so I stay home and watch on YouTube (unless I needed to evacuate and, hopefully, I had the means to do so before it was too late).</t>
  </si>
  <si>
    <t>2025-01-08T22:29:11Z</t>
  </si>
  <si>
    <t>Thanks to newsome and Mayor and everyone to save us</t>
  </si>
  <si>
    <t>2025-01-08T22:28:55Z</t>
  </si>
  <si>
    <t>Apparently they haven't issued mandatory evacuation orders for that town.</t>
  </si>
  <si>
    <t>2025-01-08T21:53:26Z</t>
  </si>
  <si>
    <t>You guys should say this is Newson’s fault, right? More than anything.</t>
  </si>
  <si>
    <t>2025-01-08T21:50:55Z</t>
  </si>
  <si>
    <t>"A lack of resources in CA." And Gavin Newsom?</t>
  </si>
  <si>
    <t>2025-02-20T00:52:12Z</t>
  </si>
  <si>
    <t>Thanks for the update.  Glad they were lucky.  Had to evacuate where I live, and our neighborhood was spared.  ❤</t>
  </si>
  <si>
    <t>2025-02-11T16:45:56Z</t>
  </si>
  <si>
    <t>😢✝️🙏✝️😢 California 😢✝️🙏✝️😢
Newsom and the other Leftist need to resign or charged with misappropriation of funds that may have prevented the fires, or at least been able to mitigate them.</t>
  </si>
  <si>
    <t>2025-01-28T14:06:18Z</t>
  </si>
  <si>
    <t>That's Bush's equivalent weather mad? or mean.  Reminds me of our Queen Boss but nonnews called after it seems people ran away during an Office Attack.  They were big was comment.</t>
  </si>
  <si>
    <t>2025-01-09T04:31:32Z</t>
  </si>
  <si>
    <t>There was no water anywhere in the affected area. There was no brush clearing preparedness. No firefighting planes. No switching off gas lines. When the tally of dead, injured and lost family properties comes, the local leadership’s “prayers” will not be enough for the victims. Criminal incompetence at its worst.</t>
  </si>
  <si>
    <t>2025-01-08T16:35:29Z</t>
  </si>
  <si>
    <t>Gods judgement on newsome and devil worship california.</t>
  </si>
  <si>
    <t>2025-01-08T16:18:52Z</t>
  </si>
  <si>
    <t>Honestly from the outside looking in. How can you not see this coming. California is prone to earthquakes wildfire and droughts. The government but mainly the people that voted for them obviously dont care enough 🤔 its gonna go from newsome to kamala and only get worse 😂</t>
  </si>
  <si>
    <t>2025-01-08T15:52:24Z</t>
  </si>
  <si>
    <t>The reckoning has begun, be prepared for collective karma</t>
  </si>
  <si>
    <t>2025-01-08T15:49:35Z</t>
  </si>
  <si>
    <t>"they can't access water" - the city of beaumont not only built 20,000 houses without building any fire stations or evacuation routes also installed fire hydrants that were never connected to water - the fire hydrants are just for 'decoration' - 'cause there's no fire trucks coming to hook up a hose anyway ,..</t>
  </si>
  <si>
    <t>2025-01-11T21:45:21Z</t>
  </si>
  <si>
    <t>Newscum, Bass and the fire chief all need to be fired and charged with criminal negligence!!!!!</t>
  </si>
  <si>
    <t>2025-01-11T21:44:07Z</t>
  </si>
  <si>
    <t>Tom hats off to you! Many reporters would think twice before covering this news for the high risks involved.  Please take care. Many blessings. My heart stays with the residents of Los Angeles. What a terrible tragedy!</t>
  </si>
  <si>
    <t>2025-01-11T21:43:12Z</t>
  </si>
  <si>
    <t>2025-01-11T21:35:51Z</t>
  </si>
  <si>
    <t>California Gov. Gavin Newsom clams that he had SAVED the endangered double headed cockroach by not allowing the dams in California to be filled with water!</t>
  </si>
  <si>
    <t>2025-01-11T21:31:53Z</t>
  </si>
  <si>
    <t>what i would like to know is are they prepared for the rain and mud sides that follow</t>
  </si>
  <si>
    <t>2025-01-11T21:08:36Z</t>
  </si>
  <si>
    <t>SHUTTING off THE NEWS feeds that GOOGLE DOESNT LIKE</t>
  </si>
  <si>
    <t>2025-01-11T21:00:31Z</t>
  </si>
  <si>
    <t>It’d be nice to know that all the proceeds from your head wear on this video and others from Fox News were being donated to help the victims of this fire.</t>
  </si>
  <si>
    <t>2025-01-11T20:59:17Z</t>
  </si>
  <si>
    <t>Hello, hello everybody in California, as frustrated when I hear news after news from different sources, but never ask the questions of the important question who is responsible for these fires is the same source which hyena  Hawaii fire, which I understand that the fire on hyena Hawaii it was caused by the government, and I believe this fire, the government have done, just to give head its to Donald Trump when he comes to the White House to take over the nation, which I believe that no one knows this. Too many questions no answers and the investigation is supposed to done properly.. the mayor was’t present she was in Ghana Africa so that tells me. American people needs answers..</t>
  </si>
  <si>
    <t>2025-01-11T20:33:23Z</t>
  </si>
  <si>
    <t>Gavin newsome works for China</t>
  </si>
  <si>
    <t>2025-01-09T21:59:19Z</t>
  </si>
  <si>
    <t>I don't understand... were they not prepared in case the fire came to them? How do evacs work in these types of situations? Poor animals. GOD bless the lady who said she wouldn't leaver her babies. It's hard for some to understand that for some people, their animals ARE their family, and for a part of those, their ONLY family. Praying they get the help they need since Trump said he was pulling funding from wildfire fighting agencies, and now the fire departments have been defunded for the police----no state should have to give the much needed funds for both to one or the other. Well...I hope CA can make it through this. They have made it through many.</t>
  </si>
  <si>
    <t>2025-01-08T18:12:42Z</t>
  </si>
  <si>
    <t>We live in Altadena we evacuated last night with my husband, dog and 85 year old grandmother😢  it’s awful</t>
  </si>
  <si>
    <t>2025-01-08T15:25:47Z</t>
  </si>
  <si>
    <t>Our idiot governor Newsom has “Trump proofed” California so I don’t know if these people will get federal assistance.</t>
  </si>
  <si>
    <t>2025-01-08T08:06:30Z</t>
  </si>
  <si>
    <t>The reporter can barely breathe! OMG this is so dangerous, why IS SHE OUT THERE LIKE THIS! You can show footage of the fire without putting this reporter and her team in danger. She’s inhaling smoke on air! There’s embers blowing around her hair. That’s insane. Slowing down the evacuation and creating a possible situation that will further endanger firefighters? This was SO Irresponsible.</t>
  </si>
  <si>
    <t>2025-01-08T07:34:15Z</t>
  </si>
  <si>
    <t>CAN'T NEWSCUM PUT THE FIRES OUT WITH HIS HAIR GEL?  HEY NEWSCUM HOW COME THERE ISN'T ANY WATER IN THE "FIRE" HYDRANTS?</t>
  </si>
  <si>
    <t>2025-01-08T07:02:14Z</t>
  </si>
  <si>
    <t>Newsom is diabolical.</t>
  </si>
  <si>
    <t>2025-01-08T06:51:52Z</t>
  </si>
  <si>
    <t>Nice job Gavin newsom of keeping brush fires down Yes definitely on
 you And don't you dare run for president nobody wants You</t>
  </si>
  <si>
    <t>2025-01-29T06:57:49Z</t>
  </si>
  <si>
    <t>Corrupt power companies yet again!!! I wonder how much they'll Newscum to not go after them like pge did.</t>
  </si>
  <si>
    <t>2025-01-29T06:32:44Z</t>
  </si>
  <si>
    <t>Does the evidence even matter? Didn't Newsom put protections into place for electric companies and wildfires?</t>
  </si>
  <si>
    <t>2025-01-29T02:56:20Z</t>
  </si>
  <si>
    <t>Fake news because nowhere in that video you can see or blame powerlines for that fire.</t>
  </si>
  <si>
    <t>2025-01-29T02:51:40Z</t>
  </si>
  <si>
    <t>I thought they caught the newsome guy with a can full gas and a handful of matches</t>
  </si>
  <si>
    <t>2025-01-29T01:50:09Z</t>
  </si>
  <si>
    <t>Still dancing around Newsome!</t>
  </si>
  <si>
    <t>2025-01-29T00:19:58Z</t>
  </si>
  <si>
    <t>Looks like the power company (rate payers) will be building a lot of new homes.  May have been a good deal to vote stupid democrats into power. Lawyers will have a field say with this news.</t>
  </si>
  <si>
    <t>2025-01-28T22:44:07Z</t>
  </si>
  <si>
    <t>I'd say, based on all the comments, that fires are a known issue and the power companies will pass on the lawsuit costs to consumers.  The BIG question is then WHY would anyone stay living there?  Get out of Cali.  Seems like staying is just asking for bad things.  You people need to be more intelligent than that.  Leave Gavin's failed state.  The libs will continue to vote for people like Newsom. Get out before disasters happen.</t>
  </si>
  <si>
    <t>2025-01-28T22:05:17Z</t>
  </si>
  <si>
    <t>I've done my fair share of work on utility equipment, although i'm not blaming them due to california being corrupt as hell and Newsom and all the mayors there I wouldn't trust as far as I could throw them,  unless the equipment is stainless steel, the salt air absolutely destroys it and can cause arcing due to increased resistance on contacts. I've even seen the metal swell in the salt air and crack it's housing</t>
  </si>
  <si>
    <t>2025-01-28T18:55:00Z</t>
  </si>
  <si>
    <t>NBC. . Gaslighting the American people for decades nothing more than a far leftist woke News channel. Wake up people,  these are the same ones telling you the boarders are secured, the economy is good, and Biden is just fine, getting lost on stage.  Just a propaganda news channel. We've seen how they are totally lieing to you</t>
  </si>
  <si>
    <t>2025-01-28T09:55:55Z</t>
  </si>
  <si>
    <t>Brought to you by YOUR incompetent leaders. Newsom, Bass, and staff MUST resign Immediately.</t>
  </si>
  <si>
    <t>2025-01-08T12:57:51Z</t>
  </si>
  <si>
    <t>WHERE IS GAVIN AGENT OF CHAOS NEWSOME ON VACATION IN ANOTHER COUNTRY</t>
  </si>
  <si>
    <t>2025-01-15T00:31:15Z</t>
  </si>
  <si>
    <t>Please everyone at risk put all your important documents in one area just in case you have to evacuate</t>
  </si>
  <si>
    <t>2025-01-13T06:29:44Z</t>
  </si>
  <si>
    <t>Please have what you need on you for 1-3 days. Most of the time you won't use it but if you need it you'll be so so grateful. 
What I keep in my diaper bag
Power box
Wall plug in
Charger cord X2
Geiger counter 
Camping spork
Knife (with window punch and seat belt cutter) 
Hair brush (with mirror) 
Sun screen
Lip balm
Hand sanitizer
Water bottle 
Walkie talkie (with noaa radio and flash light)
Tweezers (medical)
Dog walking flashlight with doggie bags
Beach towel 
Wallet 
First aid kit( bleed stop, bandaid, medical tape, medical scissors, steri strips, mole skin) 
Med kit( bentonite clay, healing salve, breathing salve, teething medicine, belladonna, arnica, eye drops, activitied charcoal, oil of oregano, Tylenol, Advil, peroxide, honey, burn cream, cough drops, electrolyte drink) 
Water filter 
Frog toggs (or hand warmers depending on season) 
Hygiene kit (Castile soap, conditioner, deodorant, tooth brush, toothpaste, qtips, tweezers, nail clippers) 
Wipes 
Granola bars
Kids activities 
Arch support
Pads
Sewing kit
Pen
Potassium iodide drops 
Swimming Moby wrap
Gallon zip lock bag (wash clothes) 
Packing cube (clothing storage) 
Small dirty clothes bag
Whistle</t>
  </si>
  <si>
    <t>detection</t>
  </si>
  <si>
    <t>2025-01-18T22:28:27Z</t>
  </si>
  <si>
    <t>Who all noticed the blue signs didn't get burned 🤔</t>
  </si>
  <si>
    <t>2025-01-18T06:06:53Z</t>
  </si>
  <si>
    <t>I was noticing many classics in the background of the news footage. So sad</t>
  </si>
  <si>
    <t>2025-01-17T23:05:12Z</t>
  </si>
  <si>
    <t>Anything to make news. Making the people more miserable showing there property gone. Clowns..</t>
  </si>
  <si>
    <t>2025-01-17T17:59:52Z</t>
  </si>
  <si>
    <t>Might have been a better idea to care about the people in G@z@ and less about cars ! Those cars look like a few I have seen on the news after heavy b0mbing by the Zi0s !</t>
  </si>
  <si>
    <t>2025-01-17T15:39:01Z</t>
  </si>
  <si>
    <t>SKAREN BASS AND NEWSCUM  AND CRYPTO COMMIES  NEED TO BE ACCOUNTABLE FOR WHAT  THEY DONE..</t>
  </si>
  <si>
    <t>2025-01-17T13:21:05Z</t>
  </si>
  <si>
    <t>This is Newsome's legacy.  May he rot in hell.</t>
  </si>
  <si>
    <t>2025-02-18T17:27:09Z</t>
  </si>
  <si>
    <t>Those embers and 100mph disaster homes businesses in flames from eaton foothills kinneloa canyon road Roosevelt street the 🐴 horses got out with the dogs cats wildlife deer❤❤❤</t>
  </si>
  <si>
    <t>2025-01-17T04:23:08Z</t>
  </si>
  <si>
    <t>Has anyone got news on the E D I horse yard. 🇬🇧</t>
  </si>
  <si>
    <t>2025-01-15T21:14:20Z</t>
  </si>
  <si>
    <t>I would never leave my animals behind. The captain goes down with their ship. And if I couldn't get them out I would die trying. Also, who cares about the houses and belongings??? Evacuate the people and animals. Everything else is replaceable or atleast no where near as important as the lives at risk.</t>
  </si>
  <si>
    <t>2025-01-15T11:36:32Z</t>
  </si>
  <si>
    <t>Fire, rain or snow the news reporters will be there.</t>
  </si>
  <si>
    <t>2025-01-15T04:05:11Z</t>
  </si>
  <si>
    <t>Nice job Newsome and major going to Ghana</t>
  </si>
  <si>
    <t>2025-01-12T12:34:49Z</t>
  </si>
  <si>
    <t>A real reporter would've heard "There's several horses we left behind" and would turn back and go to help, that would've not only been helpful for them blocking up evacuation paths but they would've actually had a worthwhile story to watch. Instead you get this airheaded yellow journalist going "Omg flames, don't drive".</t>
  </si>
  <si>
    <t>2025-01-11T21:46:26Z</t>
  </si>
  <si>
    <t>If you have horses, please always have spray paint to paint your phone number on your horses then set them free if you evacuate. I pray for all homeless people and animals 😢</t>
  </si>
  <si>
    <t>2025-01-29T22:43:20Z</t>
  </si>
  <si>
    <t>AXSWATSWCASDWCSW.  4x4 25.  TV ATAT. LA HOLLYWOOD ❤❤❤🖥📹😭😭😭😭🕯💖👗👠💍💍🕯🕯🕯💖💖💖</t>
  </si>
  <si>
    <t>2025-01-29T22:39:58Z</t>
  </si>
  <si>
    <t>AXDSAXSFASXSW. TV ATAT.  LA. HOLLYWOOD 😭😭😭😭🕯💍👗🎼💖😭🕯💍🖥📹</t>
  </si>
  <si>
    <t>2025-01-16T03:17:51Z</t>
  </si>
  <si>
    <t>Wow, they seem like such nice people. God Bless Them.  Thank God they're ok. It was nice to hear what they each grabbed.</t>
  </si>
  <si>
    <t>2025-01-15T22:20:13Z</t>
  </si>
  <si>
    <t>The story of the family in Altadena escaping the Eaton fire is truly a painful reminder of the fragility of life in the face of natural disasters. Their courage in the face of danger is commendable, but it also raises larger questions about preparedness and early warning for communities in hazardous areas. Is there a way to improve the emergency response system so that other families do not have to face such life-and-death moments?</t>
  </si>
  <si>
    <t>2025-01-15T17:49:00Z</t>
  </si>
  <si>
    <t>Just like Gavin newsome!</t>
  </si>
  <si>
    <t>2025-01-08T15:51:51Z</t>
  </si>
  <si>
    <t>My parents live there, I haven't talked to them yet, my Brother lives in the path of the fire... I'm sobbing and praying and asking why this is happening. I know horses that are there. Oh Lord my God please do all you can to change the winds! Protect those who are fighting the fire. Help all who are evacuating to stay calm calm calm so more people don't get hurt. 
Let's all pray for miracles.</t>
  </si>
  <si>
    <t>2025-01-08T11:54:58Z</t>
  </si>
  <si>
    <t>These reporters are putting their lives on the line to report the news. Hats off them 👏</t>
  </si>
  <si>
    <t>2025-01-08T09:19:55Z</t>
  </si>
  <si>
    <t>The news desk lady wanting him to not test his skills and let the house burn is wild</t>
  </si>
  <si>
    <t>2025-01-08T06:22:05Z</t>
  </si>
  <si>
    <t>We all need to ask Gavin Newsom where all the money that needs to go to mitigating the spread of these fires is going. This happens every year like clockwork, but nothing is being done.</t>
  </si>
  <si>
    <t>2025-01-08T05:45:54Z</t>
  </si>
  <si>
    <t>This is alot im just tryna 😮 Pray things don't get evacuated in pasad3a are the wind is blowing crazy out here already</t>
  </si>
  <si>
    <t>2025-01-08T05:43:04Z</t>
  </si>
  <si>
    <t>We had to evacuate. It’s so scary</t>
  </si>
  <si>
    <t>2025-01-15T22:10:20Z</t>
  </si>
  <si>
    <t>Watching this makes my blood boil this Newsom could’ve done more for fire prevention. This is what you get when you have tree huggers in our government.</t>
  </si>
  <si>
    <t>2025-01-15T05:17:51Z</t>
  </si>
  <si>
    <t>You know seeing fire department settles you down some until you find they have no water. No water to fight the fire with how impossible is that in 100mph wind?
Newsom is trying to find out what happened and refuses to look in the mirror. How numb nuts can Newsom be. Eight years as governor and doesn’t know who runs the state of California. That guy needs medical mental help. Posser!</t>
  </si>
  <si>
    <t>2025-01-08T05:15:57Z</t>
  </si>
  <si>
    <t>omg its really not safe for that news team to be reporting from a fire ! lmfao... its comedic like jim carreys news anchor movie, that poor girl with all that gear on.... she really wants that promotion! lol...but the fire is sad</t>
  </si>
  <si>
    <t>2025-01-08T04:55:45Z</t>
  </si>
  <si>
    <t>Getting ready to evacuate</t>
  </si>
  <si>
    <t>2025-01-08T04:20:57Z</t>
  </si>
  <si>
    <t>pray for my family they’ve been evacuated</t>
  </si>
  <si>
    <t>2025-01-16T07:15:37Z</t>
  </si>
  <si>
    <t>Newsom wants to remake LA for the Olympics and the world economic forum real estate developers, the High speed bullet train out in the Palisades</t>
  </si>
  <si>
    <t>2025-01-19T02:58:44Z</t>
  </si>
  <si>
    <t>Californian’s need to RECALL Dancing Pretty “FishBoy” Newsom for incompetence, along with his Court Jester Liber Clown Karen Bass for insensitive incompetence, and the Liberal WOKE Fire Chief for Gross Incompetence for hiring Unqualified DEI people and firing QUALIFIED people.</t>
  </si>
  <si>
    <t>2025-01-08T15:18:39Z</t>
  </si>
  <si>
    <t>Newsom has “Trump proofed” California so idk if these people will be getting any federal help.</t>
  </si>
  <si>
    <t>2025-01-08T14:40:21Z</t>
  </si>
  <si>
    <t>Newsom should b e in prison, no water, closing fire stations, I live in Oakland Hills where years ago was a huge firestorm that destroyed 3500 homes 
and they closed 2 stations here and plan on closing 4 more, disgusting. But he has money to support illegal migrants. Makes me sick</t>
  </si>
  <si>
    <t>2025-01-08T12:50:07Z</t>
  </si>
  <si>
    <t>So we’re is Gov. newsome he is to blame  on why this brush fire is so out of control, why hasn’t newsome call out the national guard??? To help California residents regarding this uncontrolled fires!!! You should have had boots on the ground fighting this fire, your national guard has a lot of helo’s to help fight this fire.  This is poor management by you and only you.</t>
  </si>
  <si>
    <t>2025-01-08T11:13:22Z</t>
  </si>
  <si>
    <t>Seems very dangerous for reporters to be so close especially when they don't have to be. They're going into areas people have evacuated from 🤔</t>
  </si>
  <si>
    <t>2025-01-08T09:53:50Z</t>
  </si>
  <si>
    <t>In answer to questions of how these fires start,  look to PG&amp;E.   I see you are having power outages.   Gee high winds and trees and brush not kept clear of powerlines that break or short out is more than likely.   That is what happened here in Butte county 6 years ago starting one of the worst and deadliest , the CAMP fire that burned the city of Paradise to the ground and killed over 80 or more people.  I was working a nursing home in Chico when we got notified that they were evacuating a nursing home, a retirement home the cities hospital.   They were inquiring how many of the half dozen care homes and the main hospital  had extra beds.  The nursing home up there was evacuating out the front door as the fire was b urning the back part.  About a quarter of our own staff lived in Paradise and surrounding areas. They were put up in the local hotels nearby.   The smoke was so bad that it completely blocked out the sun.</t>
  </si>
  <si>
    <t>2025-01-08T09:50:01Z</t>
  </si>
  <si>
    <t>Looks like the Paradise fire that destroyed an entire city.  I believe evacuation warnings will increase for all of west los Angeles</t>
  </si>
  <si>
    <t>2025-01-08T09:47:16Z</t>
  </si>
  <si>
    <t>I was almost one of the victims of this wildfire
Being asleep after a long day working hard by the time I noticed it was almost too late but luckily I was able to escape with my life and a copy of best-selling Nintendo DS game Nintendogs + Cats
Thank Jesus that I was able to save just small part of my life</t>
  </si>
  <si>
    <t>2025-01-08T08:58:43Z</t>
  </si>
  <si>
    <t>I can’t imagine loosing everything you e worked your whole life for. Family heirlooms,framed photos,photo albums,special art,etc. Your whole life’s work up in flames! Devastating. This is the work of one person. As soon as the news reports winds are coming he gets to planning 😡😡😓😓</t>
  </si>
  <si>
    <t>2025-05-16T03:30:32Z</t>
  </si>
  <si>
    <t>I live in Pasadena toward the north, right up against Altadena. Sheriff came to the door said there was a mandatory evacuation. This could’ve been prevented if our infrastructure was up-to-date. If politicians would start caring about their jobs and what they’re supposed to be, rather than their own money and power and control, the world would be a better place.</t>
  </si>
  <si>
    <t>2025-01-09T06:42:53Z</t>
  </si>
  <si>
    <t>I live there and i had to evacuate and my school was on fire too</t>
  </si>
  <si>
    <t>2025-01-21T07:48:56Z</t>
  </si>
  <si>
    <t>These are the stories that NEED to be told!!!   Just like the ferry boats that evacuated soooo many New Yorkers during 9/11....  These people are HEROES and deserve to be recognized!!  I have worked in nursing homes with nearly 700 residents....  having to quickly and safely move them all out is an overwhelming thought.... Thank you, Bus Drivers and everyone who helped!!!!</t>
  </si>
  <si>
    <t>2025-01-19T01:46:37Z</t>
  </si>
  <si>
    <t>Why would the senior homes wait to evacuate?? I'm so glad those bys drivers were courageous, showed up and saved so many people!</t>
  </si>
  <si>
    <t>2025-01-18T21:50:56Z</t>
  </si>
  <si>
    <t>This should be on the news, not politics. People helping people. True heroes.</t>
  </si>
  <si>
    <t>2025-01-18T15:08:27Z</t>
  </si>
  <si>
    <t>These are the news that should flood the media! Bravo and bless you!</t>
  </si>
  <si>
    <t>2025-01-18T12:12:58Z</t>
  </si>
  <si>
    <t>All senior assisted living homes and nursing homes should all be required by federal/state/city to have an emergency evacuation training program.  This includes the facilities having onsite emergency preparedness programs to have their bug out bags to include their money/jewelry, IDs, passport, medical cards,SSN card, emergency necklace or bracelet that states if they are diabetic,asthma (med condition that require to have their prescribed meds with them at all times. extra emergency prescriptions, prescription glasses, doctor/nurse contacts info, clinic and/or hospital they usually go to and address/phone#/email of their emergency contact family members.  A city bus will be provided for these facilities which will bring them to a pre-designated location such as a red cross/fema emergency shelter or another senior assisted home or nursing home or some on a diff. bus that needs to go to an actual hospital because of their highly vulnerable medical condition whereas a healthcare aide or nurse has to be nearby to check on them.  Also, if family members decides they will pick them up and bring them back to a family members home to look after during the emergency.</t>
  </si>
  <si>
    <t>2025-01-18T11:32:18Z</t>
  </si>
  <si>
    <t>Hope they get the credit, not just a news report, for what they did.</t>
  </si>
  <si>
    <t>2025-01-17T18:53:31Z</t>
  </si>
  <si>
    <t>Average citizen does far more than any so called leader. newsom</t>
  </si>
  <si>
    <t>2025-01-17T17:54:26Z</t>
  </si>
  <si>
    <t>Every facility like this one in the L.A. area needs a wildfire evacuation plan.</t>
  </si>
  <si>
    <t>2025-01-17T22:57:30Z</t>
  </si>
  <si>
    <t>That Gavin Newsom fire was bad</t>
  </si>
  <si>
    <t>2025-01-14T22:23:25Z</t>
  </si>
  <si>
    <t>Oh my God. 
My Aunts beautiful Tudor home is in this video (what's left of it). She's lived there almost 70 years...  😢😢😢
I miss my Uncle George (RIP) but I'm glad he didn't have to see this devastation. 
Anyone that's lived in Altadena/Pasadena for any length of time is probably familiar with my Uncle George (he was always in the local newspapers). 
He was the boys basketball coach for Pasadena High School &amp; then Pasadena Community College. 
He's also in the Pasadena Sports Hall of Fame.
It didn't matter if it was 90°.  
At Christmas when we'd gather in the living room to open presents, Uncle George would get in the Christmas Spirit! 
He'd wear a Christmas Sweater and build a fire in the fireplace (which was funny when the rest of us were wearing tank tops &amp; shorts LOL).
I have 61 years of memories, good times &amp; holidays spent in that house.  
I'm absolutely heartbroken.   💔</t>
  </si>
  <si>
    <t>2025-01-13T22:39:55Z</t>
  </si>
  <si>
    <t>Who is the guy calling this newscast? And why, even after having been gone from California, does every one of these air news guys sound like Scott Reiff?? 
Is he still the in the air reporter out there??
The 40 years I lived in California, he was indeed the voice in the air, on radio and television.</t>
  </si>
  <si>
    <t>2025-01-12T20:43:49Z</t>
  </si>
  <si>
    <t>And Gavin NewSCUM, Karen Bass, L.A. city council, and fire chief don't feel they are responsible.
Who needs ENEMIES when you have DEMONCRAT/COMMUNIST politicians in charge?
They all belong in prison for the rest of their miserable lives!</t>
  </si>
  <si>
    <t>2025-01-12T09:25:52Z</t>
  </si>
  <si>
    <t>This should be called the Newsome destruction , he allowed this destruction to happen.</t>
  </si>
  <si>
    <t>2025-01-11T19:41:42Z</t>
  </si>
  <si>
    <t>TODAY ABC NEWS IS SHOWING HOW GAZA LOOK</t>
  </si>
  <si>
    <t>2025-01-11T18:55:50Z</t>
  </si>
  <si>
    <t>Newsance made 7 + mistakes that was a major contributing factor of failures he chose to make.</t>
  </si>
  <si>
    <t>2025-01-15T15:22:01Z</t>
  </si>
  <si>
    <t>Not only did he get his family out, but he also went door to door on the street to warn his neighbors.  My mother lived up the street and evacuated because he came and told her to.  Her home is also gone, but at least she and her dogs are safe.</t>
  </si>
  <si>
    <t>2025-01-19T06:23:47Z</t>
  </si>
  <si>
    <t>LOS ANGELES BE ON ALERT TikTok DARK comments going around seen nefarious</t>
  </si>
  <si>
    <t>2025-01-12T21:08:41Z</t>
  </si>
  <si>
    <t>Fake news</t>
  </si>
  <si>
    <t>2025-01-12T16:15:03Z</t>
  </si>
  <si>
    <t>World it just a testing that will taking you between heaven or hell in eternal life and i just remind you all that end of time is near prepared with do charity because you have obligation to God for you goodness in eternal life..</t>
  </si>
  <si>
    <t>2025-01-21T08:27:11Z</t>
  </si>
  <si>
    <t>For all of you who are heartbroken. Ask yourself this question: Who stands to gain from the misery of this disaster. And, who helped create it in the first place? State Farm, The Wonderful Co, Nestle, PG&amp;E, Gavin Newsome and Karen Bass are your starting suspects. Go from there.</t>
  </si>
  <si>
    <t>2025-01-19T15:48:08Z</t>
  </si>
  <si>
    <t>Please open a GoFundMe officer! You deserved our help! The news are so cold don't share even the basic information. 😢</t>
  </si>
  <si>
    <t>2025-01-16T23:50:39Z</t>
  </si>
  <si>
    <t>Only vote democrat. Not on substance but just petty lines you get what you voted for. Trust me Newsome is much better off than you are</t>
  </si>
  <si>
    <t>2025-01-16T21:51:41Z</t>
  </si>
  <si>
    <t>This is so heartbreaking! And I’m willing to bet they had their fire insurance canceled too like everybody else! I think the companies that canceled fire insurance in California should be sued for every penny that they have! And newsom has to pay for all of this, every bit of this is his fault and he knows it’s his fault! He should be in prison!!</t>
  </si>
  <si>
    <t>2025-01-16T20:59:07Z</t>
  </si>
  <si>
    <t>NEWSOME OR BASS
YOU ARE FIRED</t>
  </si>
  <si>
    <t>2025-01-16T20:33:02Z</t>
  </si>
  <si>
    <t>Times are a changing people, wake up, it's the people for the people no more elected morons like the douch bag newsom and your fucked up mayor black bass who left the country vote red</t>
  </si>
  <si>
    <t>2025-01-22T00:51:30Z</t>
  </si>
  <si>
    <t>When will Newsom pay for his mistakes? When will Newsom and bass resign?</t>
  </si>
  <si>
    <t>2025-01-18T18:26:34Z</t>
  </si>
  <si>
    <t>This was set intentionally and no big trees! How can a fires start and do all this! It is plan 2.50 by newscum</t>
  </si>
  <si>
    <t>2025-01-17T11:04:24Z</t>
  </si>
  <si>
    <t>😂😂😂😂😂😂 BET THEY VOTING FOR GAVIN NEWSCUM</t>
  </si>
  <si>
    <t>2025-01-16T15:43:37Z</t>
  </si>
  <si>
    <t>Does anyone know of the people that worked on the TV show Red Shoes Diaries filmed in LA in the 90s?
Specifically I need to find the name of the extra actress on the episode "Hotline", the blonde girl with a white long sleeve shirt in a scene and a polka dot dress in another. Her pictures are on IMDB episode page and tthe episode is on youtube too.
She is now 55 and I need to know if she is doing well.</t>
  </si>
  <si>
    <t>2025-01-15T11:44:26Z</t>
  </si>
  <si>
    <t>Of course, the advanced technology, the wireless we use, the wifi, the internet, the online systems the radio actives, . . . all are connected with fires. We should not be too far from the real world.</t>
  </si>
  <si>
    <t>2025-01-12T23:51:31Z</t>
  </si>
  <si>
    <t>When you evacuate you do just that. No time to load anything.</t>
  </si>
  <si>
    <t>2025-01-10T21:56:05Z</t>
  </si>
  <si>
    <t>Gavin newsom's career has gone up and smoke, it makes it all worthwhile considering the damage he could do to America</t>
  </si>
  <si>
    <t>Palisades Fire</t>
  </si>
  <si>
    <t>2025-11-04T14:00:32Z</t>
  </si>
  <si>
    <t>I used to like visiting California. Since he collective intelligence of the masses vote in bass and newsome, it terrifies me to see what they are capable of doing. Replacing beautiful homes with low income housing for all the drug addicts. Nice going liberals</t>
  </si>
  <si>
    <t>2025-01-12T01:11:15Z</t>
  </si>
  <si>
    <t>I had no idea Sebastian Vettel reported for American news.</t>
  </si>
  <si>
    <t>2025-01-10T03:57:06Z</t>
  </si>
  <si>
    <t>What is scary about these fires is the wind. It spreads so fast then the traffic is gridlocked and you can't get out. I feel for my CA neighbors!❤</t>
  </si>
  <si>
    <t>2025-01-09T03:33:05Z</t>
  </si>
  <si>
    <t>All on Newscum and the commie CA liberal POS state Govt , done on purpose to destroy the pedafile evidence in the Hollywood hills</t>
  </si>
  <si>
    <t>2025-01-08T12:09:16Z</t>
  </si>
  <si>
    <t>Sanctuary State, rest of the Country could care less. Your on your own, cry to newscum.</t>
  </si>
  <si>
    <t>2025-01-08T10:49:21Z</t>
  </si>
  <si>
    <t>Be Prepared, Not Scared!  Have car ready and packed with necessary items, meds, pets, documents, first aid kit, water, food etc</t>
  </si>
  <si>
    <t>2025-01-08T08:04:37Z</t>
  </si>
  <si>
    <t>Between the illegals, droughts, taxes, traffic, retail theft, earthquakes, crime, gas prices, homeless, drug addicts and fires - if you still live in California you are fucked 🤷‍♂️</t>
  </si>
  <si>
    <t>2025-01-08T07:33:55Z</t>
  </si>
  <si>
    <t>My Friends dad saved his house by hiding in it when they evacuated the neighborhood and hosing down his house all night from the roof down. His house was the only one  standing on his block . We were trying to help him but highway patrol wouldnt let us into the area. This was the Northen California Lake county fires a few years ago.</t>
  </si>
  <si>
    <t>2025-01-08T07:19:54Z</t>
  </si>
  <si>
    <t>This should be local news,l'm in Va and never see this we all woods. CA don't let you clear. Home prices done went up so high someone else just  want the land</t>
  </si>
  <si>
    <t>2025-01-08T06:41:08Z</t>
  </si>
  <si>
    <t>And Gavin Newsom is not building infrastructure to save free water mother nature provides. Pot holes everywhere. He plans on a $.65/per gallon gas too. Anyone know where the $85 BILLION went for the drug/homeless? Guess.</t>
  </si>
  <si>
    <t>2025-11-01T22:15:34Z</t>
  </si>
  <si>
    <t>WHY DONT THE PEOPLE OF CALIFORNIA RISE UP AND DEMAND BOTH NEWSUM AND BASS BE REMOVED AND CHARGED CRIMINALLY?!! Why are they just sitting around and doing nothing?!!! THEY NEED TO RISE UP AND GET VOCAL OR NOTHING WILL BE DONE!! All Americans will back them up and give them whatever support necessary but they must make the first step! This was a land grab done by criminals. The criminals in queston are Newsum, Bass, and Associates. FACTS. ALL ABLE TO BE PROVED.</t>
  </si>
  <si>
    <t>2025-01-23T20:00:58Z</t>
  </si>
  <si>
    <t>Shane on Bass and Newsom😂</t>
  </si>
  <si>
    <t>2025-01-14T23:48:00Z</t>
  </si>
  <si>
    <t>Did anyone noticed the trees are not burn!</t>
  </si>
  <si>
    <t>2025-01-12T21:49:23Z</t>
  </si>
  <si>
    <t>If they had prepared AND HAD RESOURCES NOT CUT OFF this never would have GROWN TO THIS EXTENT.</t>
  </si>
  <si>
    <t>2025-01-12T00:16:02Z</t>
  </si>
  <si>
    <t>Newsom has utterly failed to protect Californians from the ever-worsening wildfire crisis. Year after year, communities are decimated while Newsom pours billions into ridiculous vanity projects—like the bullet train to nowhere—instead of addressing the very real and urgent safety needs of the people he’s supposed to serve. While he chases headlines, Californians are left with nothing but ashes and shattered lives.
Practical solutions—like widening fire roads to ensure safer evacuations and creating temporary refuge areas for displaced families—have been sitting on the table for decades. Decades. And what has Newsom done? Nothing. His inaction, despite over 25 years of clear warnings, is not just negligent; it’s outright disgraceful.
Even worse, critical public safety funding continues to be deprioritized. Seven months before the uncontrolled Palisades Fire in Los Angeles, the city's fire department budget for this fiscal year was slashed by more than $17.5 million, according to records. Instead of strengthening frontline defenses, resources are being diverted elsewhere. Mayor Karen Bass, in signing the City of Los Angeles' budget for the 2024-2025 fiscal year, further highlighted how misplaced priorities are contributing to the wildfire crisis.
To the families who have lost everything—your homes, your loved ones, your futures—you deserve leaders who actually care about your survival, not ones obsessed with their political legacy. Newsom’s empty promises and grossly misplaced priorities show a staggering disregard for the very people he was elected to protect.
Governor Newsom, your failure is killing people. Californians are dying, and you’re too busy grandstanding to do anything meaningful. Stop ignoring basic common sense. Stop wasting time and resources on pipe dreams. Start doing your job—or step aside for someone who will. FK I can do a better job! Enough is enough.</t>
  </si>
  <si>
    <t>2025-01-11T20:41:28Z</t>
  </si>
  <si>
    <t>Where is Gavin Newsome ???
He's been hiding since the beginning of the fire !!!</t>
  </si>
  <si>
    <t>2025-01-11T13:12:37Z</t>
  </si>
  <si>
    <t>Newsome Revenge?</t>
  </si>
  <si>
    <t>2025-01-15T05:55:41Z</t>
  </si>
  <si>
    <t>RECALL NEWSOME AND THE MAYOR. THIS IS REDICULOUS. NO WATER IN THE FIRE HYDRANTS? COME ON! RESIGN.</t>
  </si>
  <si>
    <t>2025-01-14T15:20:34Z</t>
  </si>
  <si>
    <t>Southern California is a DESERT: ALWAYS HAS BEEN. Never was suitable for mass population density._x000D_
It was reported on LIVE t.v., Fox News on Tuesday before it got catastrophic inferno status THAT THE FIRE WAS CAUSED BY A BACKYARD FIRE IN THE MIDDLE OF PALISADES NEIGHBORHOOD by 'accident' on Tuesday when the winds began. It was fact-ed by a call to 911 to report the fire. Could be these teens?
 This was caused by privileged ignorance and greed. Truth.</t>
  </si>
  <si>
    <t>2025-01-09T07:40:57Z</t>
  </si>
  <si>
    <t>"100% out of control" is another Fox "news" lie. They like to make people afraid.</t>
  </si>
  <si>
    <t>2025-01-09T06:24:38Z</t>
  </si>
  <si>
    <t>They should arrest Gavin Newscum for negligence and incompetence. He has ruined California.</t>
  </si>
  <si>
    <t>2025-01-09T00:20:59Z</t>
  </si>
  <si>
    <t>Okay so I'm confused people have money to have those big old houses looking over that beautiful scenery in LA but they don't have money to make themselves like a safe place on the ground like a bunker like what people do in the Midwest for tornadoes you have money to buy those expensive cars living in expensive house but you don't have an evacuation plan?</t>
  </si>
  <si>
    <t>2025-01-08T18:56:24Z</t>
  </si>
  <si>
    <t>My friend said he might not evacuate, he’d stay and try to save his house. I think he’s nuts. Houses are replaceable. I’d grab my pets and bail ASAP.</t>
  </si>
  <si>
    <t>2025-01-15T04:25:43Z</t>
  </si>
  <si>
    <t>Hell itself can't look much different than this.
Nero fiddled while Rome burned._x000D_
Newsom fiddled while California burned.</t>
  </si>
  <si>
    <t>2025-01-15T01:07:13Z</t>
  </si>
  <si>
    <t>Trump blames Governor Newsom for the WILDFIRES.  YEP, NEWSOM CAN CONTROL ALL WEATHERS. 😢</t>
  </si>
  <si>
    <t>2025-01-14T03:23:41Z</t>
  </si>
  <si>
    <t>This is Biblical.  Insurance companies will declare bankruptcy. Civil suits will decimate the treasury of California.  Gavin "the surfer" Newsom's political career is over.</t>
  </si>
  <si>
    <t>2025-01-14T02:58:11Z</t>
  </si>
  <si>
    <t>Damn wtf they should have been better prepared to fight a fire of this magnitude</t>
  </si>
  <si>
    <t>2025-01-13T23:23:45Z</t>
  </si>
  <si>
    <t>Why is the news not showing how mexico is offering help and sending firefighters to help  and combat the fires❤️🙏🏽 to fight a battle that isnt theirs. God bless 🇲🇽 mexico</t>
  </si>
  <si>
    <t>2025-01-13T22:22:24Z</t>
  </si>
  <si>
    <t>good thing they are all about environment.........all the ev's in the world won't make up for the mismanagement of forests and lack of preparedness for these fires...</t>
  </si>
  <si>
    <t>2025-02-04T08:45:30Z</t>
  </si>
  <si>
    <t>why ?. Kenapa ?. hanya video ini saja. tidak ditayangkan di berita kebakaran di tv ?.</t>
  </si>
  <si>
    <t>2025-01-28T05:31:27Z</t>
  </si>
  <si>
    <t>Like Governor newsom said he's going to get with the governor of Hawaii and start selling property and he was dancing he was happy why was he getting some of that money.. is that was going to happen to the Pacific Palisades. And the rest!</t>
  </si>
  <si>
    <t>2025-01-19T23:30:31Z</t>
  </si>
  <si>
    <t>You’re looking at the creation by Gavin Newsome and Karen Bass you people in Ca. need to vote these people out. They are of the highest level of radical you can get. Now Black Rock is offering to buy up every piece of property that will sell this was almost like it was planned. Ca. is nothing like it used to be. People need to wake up this all could have been avoided.</t>
  </si>
  <si>
    <t>2025-01-16T02:33:32Z</t>
  </si>
  <si>
    <t>Newsom and Bass California's finest</t>
  </si>
  <si>
    <t>2025-01-13T12:25:46Z</t>
  </si>
  <si>
    <t>Well, Biden just allocated billions to rebuild LA, the WEF 15 min cities supper tall Chinese apartment complex all gated communities, so you know locked down for emergency public safety. Yeah, it works well for Chinese CCP. The mass demolition fire worked, amazing, the new building codes were announced, and the world Economic Forum also announced, your going to get a new Olympic stadium to boot. Biden has just released billions of dollars to the WEF for the new build back better program. But the Biden and Gavin Newsome administration wanted to assure you that it was a wild fire that caught LA at a bad time. But they got you homeless people, you're getting a new apartment.</t>
  </si>
  <si>
    <t>2025-01-12T22:17:49Z</t>
  </si>
  <si>
    <t>It's sickening when I see Newsome smiling.  He got his wish to plant more trees.</t>
  </si>
  <si>
    <t>2025-01-12T22:11:55Z</t>
  </si>
  <si>
    <t>This is a land grab. They will rezone all this and Newsome and Pelosi et al will rebuild with apartments...smart cities.</t>
  </si>
  <si>
    <t>2025-01-12T22:00:39Z</t>
  </si>
  <si>
    <t>Thank newsome and his smelts</t>
  </si>
  <si>
    <t>2025-01-12T19:31:17Z</t>
  </si>
  <si>
    <t>Newsom 4 Prison 2028</t>
  </si>
  <si>
    <t>2025-01-12T18:00:12Z</t>
  </si>
  <si>
    <t>Great job preventing this Newsome should be out immediately They knew these winds were coming and they did nothing Stupid California</t>
  </si>
  <si>
    <t>2025-01-10T20:19:31Z</t>
  </si>
  <si>
    <t>Sending My Prayers for Everyone's Safety living in All the affected Areas of LA, Los Angeles California, the Palisades, Hollywood Hills, Malibu, Pasadena, Studio City, and all other nearby places...
Prayers for their Safety...
And Well-Being...
Please EVACUATE IMMEDIATELY if you live in those  Emergency EVACUATION affected areas.
Praying for ALL the FIRE FIGHTERS, FIRST RESPONDERS, POLICE, EMERGENCY RESCUE RESPONDERS, and VOLUNTEERS...</t>
  </si>
  <si>
    <t>2025-05-13T06:23:53Z</t>
  </si>
  <si>
    <t>And they still vote for Gavin Let-It-Burn Newsom.</t>
  </si>
  <si>
    <t>2025-04-02T10:23:24Z</t>
  </si>
  <si>
    <t>It is not simply enough to say, Oh we can build this back again, when it is gone forever. Even after ALL the new builds are completed, this will never be the place that it once was with so much history lost. If this is the way of progress then the days of my youth are truly dissapeared forever. I sit and listen to Bob Segar sing Hollywood Nights and weep. I weep not because it could never have been this way but because they made it happen and still they have no shame, no guilt and no care for what they are fully culpable for and some believe as I do that it was also fully planned and fully intentional even though it run its own unstoppable course. 
She took his hand, and she led him along that golden beach_x000D_
They watched the waves tumble over the sand_x000D_
They drove for miles and miles up those twisting turning roads_x000D_
Higher and higher and higher they climbed. 
Night after night, day after day, it went on and on_x000D_
Then came that morning, he woke up alone_x000D_
He spent all night staring down at the lights of L.A._x000D_
Wondering if he could ever go home.................Well not now he can't</t>
  </si>
  <si>
    <t>2025-03-29T10:25:18Z</t>
  </si>
  <si>
    <t>Do not censor this video. Show this video. Thumbs up. News footage for history Thanksgiving 1986.</t>
  </si>
  <si>
    <t>2025-01-15T16:05:15Z</t>
  </si>
  <si>
    <t>Bro the first ram FD has the sirens so quite right at the beginning of the video</t>
  </si>
  <si>
    <t>2025-01-14T22:02:15Z</t>
  </si>
  <si>
    <t>Given the conditions they were confronted with there wasn't a damn thing they could do but evacuate people. That much wind and dry brush, nothing would have stopped that monster</t>
  </si>
  <si>
    <t>2025-01-14T09:03:16Z</t>
  </si>
  <si>
    <t>Just a thought…cops sure seem to like using their emergency lights and sirens in California….we got us a convoy!</t>
  </si>
  <si>
    <t>2025-01-14T01:41:02Z</t>
  </si>
  <si>
    <t>At. 5:30 I wonder what siren that is our county EMS agency medic supervisor command suv have that siren.</t>
  </si>
  <si>
    <t>2025-01-13T21:43:06Z</t>
  </si>
  <si>
    <t>There were hardly any trucks until hours after it started.  The ones that finally did show up  way later in the afternoon, they were telling residents they had no water and to just evacuate ASAP.</t>
  </si>
  <si>
    <t>2025-01-21T02:08:41Z</t>
  </si>
  <si>
    <t>Houses built of wood will burn down ive noticed where stine wals and irin railings remain when everything else is destroyed. Any new building should use materials that won't burn so readily. Or build walls to act as barriers though with climate being tge main factor I know, I'd not want to live there just turnvinto a great national park  for flora and fauna.</t>
  </si>
  <si>
    <t>2025-01-19T01:18:23Z</t>
  </si>
  <si>
    <t>This was predicted to happen yet Newson's government failed to prepare for it much less the mayor. I read somewhere that the fire started from a downed electrical wire that was not de-energised.  Also it was not climate that caused it it was a fluke weather event form a high to the north and a low to the south that combined to created the hurricane like winds.</t>
  </si>
  <si>
    <t>2025-01-18T13:02:25Z</t>
  </si>
  <si>
    <t>It’s arson and Newsome belongs in prison</t>
  </si>
  <si>
    <t>2025-01-17T15:56:54Z</t>
  </si>
  <si>
    <t>Full update news https://youtu.be/7_LVxanJ9Fo?si=t-pJNokRIpTvdS4p</t>
  </si>
  <si>
    <t>2025-01-17T15:55:27Z</t>
  </si>
  <si>
    <t>https://youtu.be/7_LVxanJ9Fo?si=t-pJNokRIpTvdS4p</t>
  </si>
  <si>
    <t>2025-01-17T15:52:25Z</t>
  </si>
  <si>
    <t>It's blood-boiling to think about the person who started the fire, playing with a box of matches or God knows what !! 🔥😡😡😡
Thanks for uploading! You did a better job than most TV channels! 🙏👍</t>
  </si>
  <si>
    <t>2025-01-17T07:15:55Z</t>
  </si>
  <si>
    <t>Why is everything focused on the Palisades fire? Yes it burned more acres, but the Eaton fire destroyed more structures, killed more people, and impacted more people. It should be the focus of the news.</t>
  </si>
  <si>
    <t>2025-01-17T06:15:54Z</t>
  </si>
  <si>
    <t>....and CA voters will STILL ALL vote for Newsom and the 'WOKE' Democrats._x000D_
One just has to shake one's head._x000D_
They are totally brainwashed._x000D_
Unbelievable.</t>
  </si>
  <si>
    <t>2025-01-17T05:45:21Z</t>
  </si>
  <si>
    <t>i just can’t help but keep shaking my head and saying “damn” this is so sad and i am not a religious person. more of a spiritual person but this feels almost biblical with the devastation that was done. 😢 absolutely insane that they weren’t prepared or responded accordingly.</t>
  </si>
  <si>
    <t>2025-01-17T04:28:06Z</t>
  </si>
  <si>
    <t>Throw newsome and bass in jail 🤬</t>
  </si>
  <si>
    <t>2025-07-06T16:21:02Z</t>
  </si>
  <si>
    <t>Remember this: Gavin Newsom and LA mayor Karen Bass could've prevented this months if not years ago but they continue to put more funding into useless social programs and DEI hiring. And Democrats want Newsom to run for president in 2028 🤦‍♂️🤦‍♂️🤦‍♂️ that clown can't even protect Californians. How is he going to run the country? Like a communist.</t>
  </si>
  <si>
    <t>2025-01-10T03:08:22Z</t>
  </si>
  <si>
    <t>They keep saying this is the most destructive fire in LA history but it looks to me like it’s the most destructive in US history. I heard on the news earlier today that they estimate that 9000 houses have burned so far. I’ve never heard of another fire in the US burning that many houses.</t>
  </si>
  <si>
    <t>2025-01-10T02:33:43Z</t>
  </si>
  <si>
    <t>I've been through a few fires and have been evacuated before.  But this has blown my mind.</t>
  </si>
  <si>
    <t>2025-01-10T01:46:44Z</t>
  </si>
  <si>
    <t>ROME BURNS while NERO FIDDLE with his Court Jester by his side... can you spell "RECALL"?... NEWSOM is tone deaf to his own MISTAKES... Save the FISH...</t>
  </si>
  <si>
    <t>2025-02-07T03:30:53Z</t>
  </si>
  <si>
    <t>How can California vote for such incompetent mayors and governors to control them such as assmouth bass and newsom? How many more must die because of them?</t>
  </si>
  <si>
    <t>2025-02-04T23:51:15Z</t>
  </si>
  <si>
    <t>Some people need to go to jail for lack of preparedness. No fault at all to the very brave and professional firefighters 👍. Thank you for being there to try and fight against such odds.🙏🏼</t>
  </si>
  <si>
    <t>2025-01-27T06:35:45Z</t>
  </si>
  <si>
    <t>Well. That was the plan.  Inside job. Newsom shows a new plan's for Olympic city. They did it.</t>
  </si>
  <si>
    <t>2025-01-24T04:09:26Z</t>
  </si>
  <si>
    <t>Thank you Gavin Newscum.</t>
  </si>
  <si>
    <t>2025-01-24T03:01:45Z</t>
  </si>
  <si>
    <t>This is just heartbreaking. Why hasn’t Newscum called upon any and all states to come and help?! I just don’t understand why he isn’t allowing more help. So many of us r just waiting for the call to come and help and it just doesn’t happen 😞</t>
  </si>
  <si>
    <t>2025-01-23T15:18:27Z</t>
  </si>
  <si>
    <t>Why are people praising Newsom? Hes been warned for years to clean the Dead trees &amp; underbrush or this wld happen. I live in AZ, we have half ass forest management and still avoid ridiculous fires like this plus there is Not one other state on the west coast 😢that deals with this. You dont let your shrubs overgrow or leave dead plants piling up in your yard so why do it on a massive scale.</t>
  </si>
  <si>
    <t>2025-01-27T06:59:42Z</t>
  </si>
  <si>
    <t>Miracle that all humans got out...wow. I dont want to know about all the pets that weren't able to get out. I know everyone did what they could. 😢</t>
  </si>
  <si>
    <t>2025-01-26T21:34:01Z</t>
  </si>
  <si>
    <t>My wildfire was worse. We had more human tragedy than they have, but we couldn't go on night time television and cry about it. Instead we developed the policies and procedures for evacuation and firefighting techniques that everybody uses now. We have never been given credit or recognition for what we have done, but we have chosen to be humble, generous and quiet about it instead. in my town, we hope for a speedy recovery in this area, rebuilding is the hard part. Everybody will survive and hopefully with an attitude adjustment.</t>
  </si>
  <si>
    <t>2025-01-26T03:55:20Z</t>
  </si>
  <si>
    <t>NEWSCUM  AND HIS MARXIST BUDDIES WILL BUY THE REAL-ESTATE OBVIOUSLY</t>
  </si>
  <si>
    <t>2025-01-24T11:50:08Z</t>
  </si>
  <si>
    <t>Bien veamos que las azeguradoras cuentan con un exelente Cuerpo de investigadores y es de suma importamcia para la compania de azeguradoras y su dictamen sobre las extructuras que fueron canceladas sus polizas es por estar en Graves riesgos tanto como como de terremotos y incendios y estan alertando ha la Comunidad de que deben habandonar sus Casas por estar al 100 de un peligro latente y como vemos sus moradores no tomaron nada en serio dejaron que todo llegara asi repentinamente y es muy dificil tener que habandonar la casa y vemos que las polizas hace un Ano dejaron de azegurar y vemos ahora lo que quedo solo zenizas y hierros retorcidos ya vemos lo que paso en las Islas de mua mua asi tambien tenia que pasar en las Costas de CA EEUU y ahora no hay nada que se pueda hacer solo tener fe y esperanzas en empezar de nueva cuenta oraciones bendiciones Paz en sus corazones amor y Salud</t>
  </si>
  <si>
    <t>2025-01-12T05:39:26Z</t>
  </si>
  <si>
    <t>Thank you newsom 🎉</t>
  </si>
  <si>
    <t>2025-01-12T01:56:19Z</t>
  </si>
  <si>
    <t>NEWSCUM YOUR PRESIDENTIAL ASPIRATIONS, JUST WENT UP IN SMOKE !!!!   😊😊😊😊</t>
  </si>
  <si>
    <t>2025-01-12T01:55:37Z</t>
  </si>
  <si>
    <t>let's see a show of hands that voted for newscum and that mayor let's 😂😂😂😂</t>
  </si>
  <si>
    <t>2025-01-12T01:07:36Z</t>
  </si>
  <si>
    <t>Let's be clear hear....Not everyone VOTED for Newsom or Biden or Kamala or Obama or none of them  But we had to follow the idiots that did...</t>
  </si>
  <si>
    <t>2025-10-11T01:20:02Z</t>
  </si>
  <si>
    <t>As it turns out it was a white liberal who could have actually been Gavin Newsom's son who started this fire. Like all liberals he hated Donald Trump. Like all liberals he said that climate change was the cause for everything. Filled with hate for law and order. That's who burned your houses to the ground.</t>
  </si>
  <si>
    <t>2025-07-25T06:16:40Z</t>
  </si>
  <si>
    <t>Reports in July 2025 indicated that $100 million was raised through the FireAid benefit concert and matching donations for relief efforts related to the January 2025 Palisades and Eaton wildfires in Los Angeles County. ask your governor Gavin Newsom or INVESTIGATE 🔥</t>
  </si>
  <si>
    <t>2025-01-17T16:34:45Z</t>
  </si>
  <si>
    <t>Very sad news for all of us but as 
A wise perspective! Indeed, calamities and misfortunes can serve as a wake-up call, guiding individuals toward the right path. The Quran mentions that Allah sends trials and tribulations to test humanity's faith and righteousness.
The ongoing wildfires in LA, and other natural disasters, can be seen as a reminder of Allah's power and authority. They encourage us to reevaluate our priorities, seek forgiveness, and strive for righteousness.
so these events can be a source of guidance for those who have neglected the true path. Allah's mercy and forgiveness are always available, and it's never too late to seek redemption and follow the path of righteousness.
May these trials serve as a catalyst for spiritual growth, and may Allah guide us all toward the right path. Ameen!</t>
  </si>
  <si>
    <t>2025-01-23T21:32:34Z</t>
  </si>
  <si>
    <t>I’d still evacuate tho… There could always be an unforeseen occurrence, and if 100% of the land around u is on fire then ur screwed 😬</t>
  </si>
  <si>
    <t>2025-01-23T20:20:05Z</t>
  </si>
  <si>
    <t>YES TO MAKE SURE THIS NEVER HAPPENS AGAIN GET RID OF NEWSCUM AND KAREN THE INCOMPETENT DUO!! AND SCUM CONT TO DO NOTHING HE WAS TOLD..WHY??  BUILDING A NEW CA AT YOUR EXPENSE? HAD TP LOSE EVERYTHING INCLUDING LIFE?? TY PRESIDENT TRUMP FOR IMPEACHING "NEWSOM" THAT IS PHENOMENAL!! BEST DECISION OUR PRESIDENT TRUMP MADE TO HELP THE CA RESIDENTS..GET RID OF THE PROBLEM!! HOLD HIM ACCOUNTABLE AND MAKE HIM COUGH UP THE BILLIONS..OR YEAH HE HAS A 9 MILLION DOLLAR ABODE!! CA DONT EVER FORGET WHAT YOU HAVE BEEN THRU AND WHO IS THE CAUSE..</t>
  </si>
  <si>
    <t>2025-01-23T00:35:42Z</t>
  </si>
  <si>
    <t>Well, they look the part. Glad their home survived but the next 5-10 years will be unbearable to live there. Non stop traffic and construction? No thanks.</t>
  </si>
  <si>
    <t>2025-01-23T00:27:37Z</t>
  </si>
  <si>
    <t>Great news i will say this fire was not a normal forest fire that burns whats in front of it as fuel. This fire storm was fueled by winds and the burning ember's rained down on a very large area like raining fire and blowing it with a leaf blower .</t>
  </si>
  <si>
    <t>2025-01-22T05:05:12Z</t>
  </si>
  <si>
    <t>That’s what’s up!! 👍 they should be required to use that type of material in California now.  Since they don’t want to ensure people. People can take their power back like they did.  It didn’t quite work out for Governor Newson, that that house is still standing. I’m wondering if he’s going to try and buy them out.  Sad to say.</t>
  </si>
  <si>
    <t>2025-01-22T02:16:42Z</t>
  </si>
  <si>
    <t>Now, the problem is that so few homes survived and Newsome is making plans/holding meetings to offer these properties to wealthy investors and developers, cutting the homeowners out of the rebuilding program altogether.</t>
  </si>
  <si>
    <t>2026-01-01T15:56:25Z</t>
  </si>
  <si>
    <t>The same happened to another that called 911. What about the firefighters that just stood around watching the fire burn. Or the people using the DEWs. Newsom and Bass know who burned down Palisades and Altadena.</t>
  </si>
  <si>
    <t>2025-05-28T13:24:41Z</t>
  </si>
  <si>
    <t>If you listen to the total video two of their friends said they actually started it and it got out of control that quick. Of course as they watch it grow how come they did not call 911 for the fire department. They did it for video hits.</t>
  </si>
  <si>
    <t>2025-01-27T04:51:02Z</t>
  </si>
  <si>
    <t>I feel guilty too by not calling 911 as soon as I noticed the fire shortly after 10 am that day :( I watched it from a rooftop down in Marina del Rey but the smoke was so small I thought that it wasn't a big deal, they'd put it out quick, the winds weren't that strong yet...how wrong I was :( but who calls 911 when watching something happening from 10 miles away..</t>
  </si>
  <si>
    <t>2025-01-14T18:16:53Z</t>
  </si>
  <si>
    <t>The situation of the city called "Pacific Palisades" near Los Angeles, the capital of the state of California, which is said to be a beautiful paradise where millionaires and Hollywood actors and actresses lived, is now in chaos.  
Resorts, hotels, star restaurants, shopping centers, markets, entertainment centers, bars, parks, lawns, the beauty of trees, plants and vines are all charred and melted. 
Business and industry have all come to a standstill. People have also evacuated the town.
Henceforth, no matter how many billions the US government spends and rebuilds that city, it is doubtful whether people will be able to go to that city and live with the warmth of nature and its protection !!! 
Even if the lands and properties costing crores are now available for free, the people will no longer want to live there.  They have seen the fury and terror of nature. 
A human being like a mosquito can't give any guarantee that something like this would not happen again in the future.  😮😢😮</t>
  </si>
  <si>
    <t>2025-01-10T01:26:48Z</t>
  </si>
  <si>
    <t>No worries newsom has plenty of water for his vineyards</t>
  </si>
  <si>
    <t>2025-01-09T19:28:09Z</t>
  </si>
  <si>
    <t>Illegals will be the only ones Newscum helps.</t>
  </si>
  <si>
    <t>2025-01-09T16:04:33Z</t>
  </si>
  <si>
    <t>Can’t stand people with their phones out I don’t know what it is with this world. All these reporters are not helping. They’re just a bunch of trash in the way, not helping in anyway whatsoever by updating us that there’s a fire and people have been evacuated everything’s burning down. I hope Trump passes a bill where if you record something instead of assisting or minding your own business you go to jail.</t>
  </si>
  <si>
    <t>2025-01-09T00:45:15Z</t>
  </si>
  <si>
    <t>They waited too long to evacuate</t>
  </si>
  <si>
    <t>2025-01-08T23:44:11Z</t>
  </si>
  <si>
    <t>Governor Gavin Newscum refused to sign the water restoration declaration put before him that would have allowed millions of gallons of water, from excess rain and snow melt from the North, to flow daily into many parts of California, including the areas that are currently burning in a virtually apocalyptic way. He wanted to protect an essentially worthless fish called a smelt, by giving it less water (it didn’t work!), but didn’t care about the people of California. Now the ultimate price is being paid. I will demand that this incompetent governor allow beautiful, clean, fresh water to FLOW INTO CALIFORNIA! He is the blame for this. On top of it all, no water for fire hydrants, not firefighting planes. A true disaster!</t>
  </si>
  <si>
    <t>2025-01-07T23:51:05Z</t>
  </si>
  <si>
    <t>Thank God my son is not in school because he would have to be evacuated right now. This is scary and I’m praying for his classmates and families and hope they have evacuated.</t>
  </si>
  <si>
    <t>2025-01-07T23:50:23Z</t>
  </si>
  <si>
    <t>California hell….but do not worry, evil Gavin Newson is ok and safe</t>
  </si>
  <si>
    <t>2025-01-07T23:46:30Z</t>
  </si>
  <si>
    <t>Meanwhile, Gavin Newsom &amp; Ping are licking their' chops!</t>
  </si>
  <si>
    <t>2025-01-07T23:30:23Z</t>
  </si>
  <si>
    <t>Can't believe newsome hasn't banned fires. They pollute way more than vehicles that burn fuel ever will..well besides the pollution he spews out of his mouth.</t>
  </si>
  <si>
    <t>2025-11-12T07:27:28Z</t>
  </si>
  <si>
    <t>Shame on you! I thought it was happening all over again! Please don't post old news!</t>
  </si>
  <si>
    <t>2025-01-10T13:20:04Z</t>
  </si>
  <si>
    <t>newscumbassass. Lying Lefty liberals</t>
  </si>
  <si>
    <t>2025-01-09T17:18:56Z</t>
  </si>
  <si>
    <t>Have your 6 Ps of Evacuation ready folks.</t>
  </si>
  <si>
    <t>2025-01-09T01:58:57Z</t>
  </si>
  <si>
    <t>KARMA
High winds spreads the inferno in rich white communities turning homes into ash.
No water.
Insurance companies turn their backs.
Gavin Newsom got a smile on his face.
Let all that sink in.
I don’t care what yall say about my comment 
KMBA🖕🏾🖕🏾</t>
  </si>
  <si>
    <t>2025-01-09T00:48:51Z</t>
  </si>
  <si>
    <t>Newsomes fault.</t>
  </si>
  <si>
    <t>2025-01-28T16:19:42Z</t>
  </si>
  <si>
    <t>All of california can thank trump, because gavin newscum can't get nothing done</t>
  </si>
  <si>
    <t>2025-01-28T16:01:43Z</t>
  </si>
  <si>
    <t>What did newscum do with all the federal money that he received!  Oh but they wanted EVERYBODY to drive electric cars!  WTF?</t>
  </si>
  <si>
    <t>2025-01-28T15:51:29Z</t>
  </si>
  <si>
    <t>I think you have a Newsome in California and the mayor of that city should have to rebuild that for everybody I mean so much could have been saved if they only would have had water</t>
  </si>
  <si>
    <t>2025-01-28T15:50:43Z</t>
  </si>
  <si>
    <t>Gavin woke up in a nice warm bed with a fully intact house and he could give no cares.</t>
  </si>
  <si>
    <t>2025-01-28T13:37:01Z</t>
  </si>
  <si>
    <t>Dont worry, Newsome and the rich people he idolizes will make you a fair offer of pennies on the dollar for all that property. You're welcome.</t>
  </si>
  <si>
    <t>2025-01-28T12:54:29Z</t>
  </si>
  <si>
    <t>Nice they can finally access their property- thank Trump because extremist Gavin Newsome had plans for your property. But mighty convenient that so many insurance companies made insurance unaffordable right before the fires. Hmm. Where there is smoke there is fire. I hope they find that “fire”.</t>
  </si>
  <si>
    <t>2025-01-28T11:51:01Z</t>
  </si>
  <si>
    <t>Gov. Newsom was pushing electric vehicles.  Oops.   Now he has created a health hazard.</t>
  </si>
  <si>
    <t>2025-01-28T10:56:56Z</t>
  </si>
  <si>
    <t>Excellent news. Pacific Palisades neighborhood residents have to be careful out there. Still thoughts &amp; prayers 🙏 are ascending.</t>
  </si>
  <si>
    <t>2025-01-28T10:44:46Z</t>
  </si>
  <si>
    <t>Goverment: Alright people the evacuation has been lifted, ya'll can head back home now.
Residents : 😑🖕🏼</t>
  </si>
  <si>
    <t>2025-01-28T10:39:27Z</t>
  </si>
  <si>
    <t>Finally! If they were truly worried about people’s safety they would’ve spent more $ and been more prepared to prevent or mitigate this disaster!</t>
  </si>
  <si>
    <t>2025-01-28T10:31:32Z</t>
  </si>
  <si>
    <t>This is ridiculous. The people need to vote out karen bass and Newsom. For the utter incompetence alone.</t>
  </si>
  <si>
    <t>2025-01-09T05:09:04Z</t>
  </si>
  <si>
    <t>This news lady needs to stop reporting and get somewhere safe. And stop bothering ppl that are worried and in crisis right now.</t>
  </si>
  <si>
    <t>2025-01-09T00:47:51Z</t>
  </si>
  <si>
    <t>Hey great fake news... But what about North Carolina.  How are You N.C.</t>
  </si>
  <si>
    <t>2025-01-08T10:58:58Z</t>
  </si>
  <si>
    <t>Fake news. All actors.</t>
  </si>
  <si>
    <t>2025-01-08T02:46:25Z</t>
  </si>
  <si>
    <t>A large brush fire broke out in the Pacific Palisades neighborhood of Los Angeles, California, prompting mandatory evacuations and affecting tens of thousands of people. https://sites.google.com/view/brushfiresincalifornia/home</t>
  </si>
  <si>
    <t>2025-01-18T03:31:17Z</t>
  </si>
  <si>
    <t>Yes AP, that's how reaction to fast fires happens. Please find me the modern fire that started within a suburban area that didn't start burning houses before an evacuation alert could be sent.</t>
  </si>
  <si>
    <t>2025-01-18T03:12:39Z</t>
  </si>
  <si>
    <t>Too many cars - complicated evacuation.</t>
  </si>
  <si>
    <t>2025-12-23T00:05:35Z</t>
  </si>
  <si>
    <t>Evacuate last minute...??</t>
  </si>
  <si>
    <t>2025-03-09T20:45:03Z</t>
  </si>
  <si>
    <t>Now it is too late you had to go when the fire is 15 km away from your house you have to evacuate faster than the bullet because the five years are called the wild wind fire they are not to be the most deadliest fires that spread even more than 5 km even 1 second in still they are trying to evacuate people are trying but you have to stay safe the countries there are many areas they are going fire because of the clouds they are coming together and the fires farming so I hope you stay safe but still you have to go before this is too late of a time</t>
  </si>
  <si>
    <t>2025-03-06T01:13:47Z</t>
  </si>
  <si>
    <t>And guys you are in Los Angeles California and you are in a Evacuation all you have to do is Pack everything in your suitcase,bring your pets and drive to the hotel that is away from the smoke and the fire</t>
  </si>
  <si>
    <t>2025-02-10T06:59:43Z</t>
  </si>
  <si>
    <t>This is why you evacuate when the Amber alert sounds</t>
  </si>
  <si>
    <t>2025-01-25T01:04:01Z</t>
  </si>
  <si>
    <t>I understand wanting to protect your home -- BUT when the rest of the neighborhood is burning down around you, everyone else is gone, the air is saturated in smoke, the fence not even ten feet away from your house is on fire, and the smoke detector in your own home is screaming, you stayed too long. They didn't even seem to have packed anything in preparation. They literally waited until the last second before running out with the clothes on their backs (maybe a small jacket in their hands). Very unwise overall.
If they had evacuated, they could have at least had a bag of clothes and important paperwork. Could have even managed to make sure he had a few precious items too.</t>
  </si>
  <si>
    <t>2025-03-04T06:38:29Z</t>
  </si>
  <si>
    <t>They probably thought we were on the same level before the fire started corrupt stupid clowns that work for the government told them that or some dummie from the news media told them that? we're not on the same level fools, stupid people ignorant dummies 
I'm on the same level as politicians billions not you clowns stop attacking me or blocking my compensation it will not end well for y'all!!!!!!!!!!
real Diplomatic Experiment ✖️🌍🐕‍🦺👀💧🧪🤮</t>
  </si>
  <si>
    <t>2025-01-13T15:59:06Z</t>
  </si>
  <si>
    <t>Time to build with bricks and other fire resistant material, metal roofs too. An earthquake will be less devastating than this, and Newsom had to GO!</t>
  </si>
  <si>
    <t>2025-01-12T23:58:02Z</t>
  </si>
  <si>
    <t>Newsom and Bass....what a duo.</t>
  </si>
  <si>
    <t>2025-01-11T14:47:48Z</t>
  </si>
  <si>
    <t>Something is very strange about this. THEIR WAS SMOKE BALLS COMING OUTTVE THE SKY HITTING THE GROUND</t>
  </si>
  <si>
    <t>2025-01-22T18:02:39Z</t>
  </si>
  <si>
    <t>There seems to be little evidence of the US military being involved with fighting the fires and evacuating people - makes you wander why the military seems to have not been involved?</t>
  </si>
  <si>
    <t>2025-01-19T18:48:01Z</t>
  </si>
  <si>
    <t>Every body should this. SO WHEN  UTAH . Oregon. Nev .and orther states when to help Gov Newsom Stop them .until they got cal Compliance . So they all left</t>
  </si>
  <si>
    <t>2025-01-18T17:12:06Z</t>
  </si>
  <si>
    <t>So refreshing to see a news story thats more than 20 seconds. Report the events as they happened with videos to back it up. Simple, really. My first time hearing all of this.</t>
  </si>
  <si>
    <t>2025-01-18T16:30:28Z</t>
  </si>
  <si>
    <t>Last weeks news.</t>
  </si>
  <si>
    <t>2025-01-18T14:48:52Z</t>
  </si>
  <si>
    <t>Sober approach to distressing news, thank you.</t>
  </si>
  <si>
    <t>2025-11-04T14:07:41Z</t>
  </si>
  <si>
    <t>Newsome you've made your aunt very very proud</t>
  </si>
  <si>
    <t>2025-01-08T12:38:57Z</t>
  </si>
  <si>
    <t>🤣 hahahaha the fire hydrants don’t have water!!!! As gavin newsome would say, “that’s the California way!” 🤣 keep voting democrat people.</t>
  </si>
  <si>
    <t>2025-01-11T19:10:40Z</t>
  </si>
  <si>
    <t>Hopefully more land will be uninhabited for years to come for wildlife conservation.Good news.</t>
  </si>
  <si>
    <t>2025-01-09T15:04:29Z</t>
  </si>
  <si>
    <t>President Trump fire Newsom</t>
  </si>
  <si>
    <t>2025-01-09T01:40:03Z</t>
  </si>
  <si>
    <t>Clearly they can be unbiased because all the opinions show that it was the fault of Governor newsom</t>
  </si>
  <si>
    <t>2025-01-08T21:51:53Z</t>
  </si>
  <si>
    <t>"It's gridlock traffic so it would take a long time to leave anyway"....
Wow. Idiocy.</t>
  </si>
  <si>
    <t>2025-01-08T18:58:06Z</t>
  </si>
  <si>
    <t>So glad we got out of California and dont have to deal with these 🔥 anymore</t>
  </si>
  <si>
    <t>2025-01-08T10:40:47Z</t>
  </si>
  <si>
    <t>This all a set up they started this fire with fog sent down that was the chemical to set the fire on so we start looking at this while the real news is going in the back round they did 911 didn't care</t>
  </si>
  <si>
    <t>2025-01-08T06:48:06Z</t>
  </si>
  <si>
    <t>The bottom line is people were told to evacuate starting at 11:30 AM and they chose not to. The hubris of the privileged and rich on full display here.</t>
  </si>
  <si>
    <t>2025-01-08T05:49:04Z</t>
  </si>
  <si>
    <t>I remember having to be evacuated out of corona del mar</t>
  </si>
  <si>
    <t>2025-01-08T05:32:08Z</t>
  </si>
  <si>
    <t>the fire was right next to my house, we evacuated, I hope it didn't burn down</t>
  </si>
  <si>
    <t>2025-01-17T21:26:03Z</t>
  </si>
  <si>
    <t>1 thing I noticed is the Lt Governor stayed tf out of dodge 😂</t>
  </si>
  <si>
    <t>2025-01-23T16:21:36Z</t>
  </si>
  <si>
    <t>Excuse! They saw news and can't expect cell phone work everything, you live in hills be smart have a plan always. Sorry, the blame game is ridiculous.</t>
  </si>
  <si>
    <t>2025-01-23T15:45:30Z</t>
  </si>
  <si>
    <t>She must be on another planet to the rest of the world i know she had to evacuate and i like in the uk 😂😂😂 😂has she not watched any news from any part of the world 😂😂😂😂</t>
  </si>
  <si>
    <t>2025-01-23T06:56:56Z</t>
  </si>
  <si>
    <t>I'm disappointed that you think it's that easy to notify everybody when a fire is moving that fast... Do you honestly think that people always get evacuation orders in time? Because that's literally not how any of this works.</t>
  </si>
  <si>
    <t>2025-01-23T06:49:27Z</t>
  </si>
  <si>
    <t>They didn’t get notice and all of Los Angeles county got a false notification .  I received a second false notification at 3:30 something AM - probably was the same one that was too late for Altadena.  I’m roughly 25 miles away from Altadena Somebody at the switchboard needs to be replaced along with BASS AND NEWSOM!
Pathetic!!!</t>
  </si>
  <si>
    <t>2025-01-22T20:04:51Z</t>
  </si>
  <si>
    <t>ABC the news channel for Donald pooper Trump</t>
  </si>
  <si>
    <t>2025-01-22T18:51:52Z</t>
  </si>
  <si>
    <t>Do you really need an order to evacuate seriously why do people think government owes them anything use your freaking brain people!</t>
  </si>
  <si>
    <t>2025-01-22T18:45:53Z</t>
  </si>
  <si>
    <t>Why would you rely on this government for warnings , orders , alerts , and admonishments ?</t>
  </si>
  <si>
    <t>2025-02-15T15:51:50Z</t>
  </si>
  <si>
    <t>Thank you for reporting on this! This is one of the few actual news stories coming from the Industrial L.A. Fire News Coverage Complex. (I'm thinking of footage of the same streets and same scenes of the same houses burning day after day, calling it "updates" and "breaking news" when it clearly was not!) Jose and others are doing what Law Enforcement and L.A. Bureaucrats should be doing but are not.</t>
  </si>
  <si>
    <t>2025-01-21T12:51:26Z</t>
  </si>
  <si>
    <t>This wouldn’t be an issue if they had ***** listened to the evacuation orders and left in the first place. They’re more than welcome to leave if they need supplies.</t>
  </si>
  <si>
    <t>2025-01-19T17:24:01Z</t>
  </si>
  <si>
    <t>I’d be doing the same exact thing in a mandatory evacuation but you can’t expect others to risk staying during an evacuation for supplies. You don’t want a bunch of vehicles coming and going… that’s how looters go unchecked. Everyone CAN stay if they want but they won’t force you to leave. The evacuation is mandatory though so they don’t want people out and about there. Less and less people will heed the evacuation and more people would die</t>
  </si>
  <si>
    <t>2025-01-19T01:44:48Z</t>
  </si>
  <si>
    <t>Imagine staying behind in an evacuation area knowing full well that resources would be scarce, if any, and then complaining about that very same thing happening. They understood the risks and made the choice to stay. Now suffer the consequences of your own choices and actions. Darwin awards need to be handed out more often.</t>
  </si>
  <si>
    <t>2025-01-18T14:23:19Z</t>
  </si>
  <si>
    <t>I live in NJ and a year or 2 back the forest fires in Canada greatly affected the air quality where I live . Sut and debri was everywhere. On our cars, blacktop, glass tables and in the air. This went on for weeks. School recess was held indoors because it was not safe to go outside and breathe the air. I remember walking to my car and there is a gray haze everywhere. The local gov suggested for people to wear masks outside. Mind you, we are not talking about 15-20 miles away for the fires. Canada is not a stones through away from where I live 
If one come put two into together, staying in these areas are a safety hazard. If you’re not affected today, you will be affected tomorrow. There are microscopic particles in the air that you are constantly breathing in from these toxic fires. People evacuate.</t>
  </si>
  <si>
    <t>2025-01-18T05:59:49Z</t>
  </si>
  <si>
    <t>Same thing they did in Hawaii and NC. Just shady. I don’t know what it’s going to take before people start preparing emergency supplies. None of my friends or family are listening. Everyone just going about their days as if these things can’t and won’t ever touch them where they live. I used to think the “peppers” were crazy. Not anymore. What is it going to take for people to see the writing on the wall. Everyone should be prepared to be in their home with no utilities and no way to get more food and supplies from the stores, and also prepared to grab a bag and go. I don’t know what else folks have to see to wake up.</t>
  </si>
  <si>
    <t>2025-01-18T01:58:46Z</t>
  </si>
  <si>
    <t>At least the news is airing this ..They didn’t even do that here in Western North Carolina..Ppl still living in tents who lost homes</t>
  </si>
  <si>
    <t>2025-01-17T23:06:35Z</t>
  </si>
  <si>
    <t>The reason is clear. Because you didn't follow the order. No one should have been allowed to bring you anything, and you shouldn't have been allowed to leave your home until streets are re-opened. That's how it works in Florida when people defy mandatory evacuation orders for a hurricane.</t>
  </si>
  <si>
    <t>2025-01-17T15:13:40Z</t>
  </si>
  <si>
    <t>What is wrong with authorities .. why are they pushing people out of their homes? this makes no sense . newscast needs to ask these questions of those in charge.</t>
  </si>
  <si>
    <t>2025-01-17T11:00:27Z</t>
  </si>
  <si>
    <t>It is obvious that most of the comments here are not from people who have ever lived through any type of natural disaster.
Law enforcement and officials have the responsibility for the community at large and houses that go up and smoke are nothing compared to lives lost of people stay their ground or a home that is looted because people are able to enter the zone. I have lived in both NorCal and SoCal in both in San Francisco with earthquakes and in Santa Monica with issues like this week, as homeowners, take our chances but we are also prepared and we listen to evacuation orders. 
*This anti-government "do not comply" stuff is for the birds.*</t>
  </si>
  <si>
    <t>2025-01-17T07:42:31Z</t>
  </si>
  <si>
    <t>May this serve as a lesson to ALL Americans. The government isn’t coming to save you. The government isn’t here to support you even after a natural disaster. STOP depending or relying on these tyrants. LEARN to be self sufficient. Be PREPARED for the worst! Buy generators before they are needed. Learn how to collect and store rain water. Buy solar panels and batteries. It’s time everybody WAKES TF UP. Start being self sufficient!!!!</t>
  </si>
  <si>
    <t>2025-01-17T02:00:20Z</t>
  </si>
  <si>
    <t>If you refuse to evacuate, you deserve nothing. Goddamn snowflakes.</t>
  </si>
  <si>
    <t>2025-01-17T01:28:38Z</t>
  </si>
  <si>
    <t>Lol im so glad I dont live in LA  
Literally all they need are some traffic cones and a stop sign or two but the city wont even let them set up.
I really dont know how to feel about this whole thing because on one hand they voted for these politicians and policies on the other this situation keeps getting worse.</t>
  </si>
  <si>
    <t>2025-01-17T00:36:13Z</t>
  </si>
  <si>
    <t>I understand why the police don't want people coming in because they could open up the neighborhood to looters, but if people have IDs and there's a city / police officer presence at the entrance, couldn't that solve the problem? I think what could be done (in the future) is have a handful of people in the community OR the city leadership to be community reps. These reps could also know who the elderly/disabled are (in each neighborhood) and be the contact to help get these people out when evacuations are called for (they would know who they are).</t>
  </si>
  <si>
    <t>2025-01-16T23:38:03Z</t>
  </si>
  <si>
    <t>They can do helicopter drop with supplies sure newsome doesn’t allow it</t>
  </si>
  <si>
    <t>2025-01-15T02:13:36Z</t>
  </si>
  <si>
    <t>In case some of the families of Altadena and others, outside the "wealthy areas" are not aware, pass these updates to them:   Congressman Brad Sherman says the following at today's all LA County Fire update:   1) They announced, in their daily fire update that the State is giving them, Grants $43,000 to start rebuilding their homes, plus other monies, State match with  2) FEMA grants for overall grand total of $97,000,  3)  SBA Loans of $500,000; with delayed payment, As well the State SBA is giving businesses, $2 million plus, and 4% loan; these amounts could increase.  For all LA County IRS delays tax filing to October 2025 at present.   There is a big townhall for all residents affected tomorrow, Wednesday and they were provided with call in number and location, for those who can physically attend.  Affected areas:  Palisades , Eaton , Hurst , Kenneth , Sunset , Lidia, Woodley, Altadena, Pasadena, Sylmar, Encino, Brentwood, Santa Monica, Hollywood Hills, West Hills, Acton and parts of Ventura County.  They should the 800 number for assistance, that is provided in the message alert to all residents.</t>
  </si>
  <si>
    <t>2025-01-11T02:59:56Z</t>
  </si>
  <si>
    <t>I have two family friends they were able to save their houses by using garden hose. They were prepared with mask, fire prof jackets and small portable oxygen tanks. they teamed up went to the roof and spray water all over their surroundings and stop one small tiny fire at a time. The they simply focus to guard one direction and move from time to time to other spot. The intense part only lasted 4-5 hours and when the smokes clear the fire next door are small and manageable.. The fire in the residential area was cause by small embers that are managable. If people only people calm down and guard their houses with water, the damage should be less. Men should guard their homes while women evacuate cause they would only cry, shout and panic. Most importantly I think the panic warnings to evacuate early made by the authority did the real damage.</t>
  </si>
  <si>
    <t>2025-01-11T02:25:22Z</t>
  </si>
  <si>
    <t>RESIGN NOW and file class-action lawsuit gross negligence and incompetence against
1. Governor Newscum
2. Mayor B-ass
3. Fire Chief 
These Biden administration is incompetence to the MAX well if you have a half died leader (what do expect).</t>
  </si>
  <si>
    <t>2025-01-16T06:49:10Z</t>
  </si>
  <si>
    <t>Ring is so small.it's evacuation time and no need to remove it OR she placed it in a. small pouch with the other rings and put the pouch inside her bra..The firefighters were so tired and beaten but she has the gall to bother the firefighters because of her negligence and irresponsiblreness.</t>
  </si>
  <si>
    <t>2025-01-08T23:09:11Z</t>
  </si>
  <si>
    <t>My mom works here. The fire was hard for her to breathe at one point. She was lucky enough to get everyone from her floor to safety. Management ignored her when she advised them to evacuate sooner. I hope everyone was out alive.</t>
  </si>
  <si>
    <t>2025-01-08T21:55:48Z</t>
  </si>
  <si>
    <t>My mother-in-law was one of the persons evacuated from there. We are flying down to see her and help her next week.</t>
  </si>
  <si>
    <t>2025-01-08T07:15:43Z</t>
  </si>
  <si>
    <t>They may need to use personal vehicles to evacuate the more stable.</t>
  </si>
  <si>
    <t>2025-01-08T06:50:31Z</t>
  </si>
  <si>
    <t>This is Newscum and Biden edition of Build Better California style. Poor JLo, she will have to move to one of five houses she owns.</t>
  </si>
  <si>
    <t>2025-01-08T06:26:09Z</t>
  </si>
  <si>
    <t>JUST REPORT WHATS HAPPENING AND PUT A CAP ON ALL THE FAKE NEWS</t>
  </si>
  <si>
    <t>2025-01-08T05:43:56Z</t>
  </si>
  <si>
    <t>Mainstream media fake news. Anchor woman out there walking around like she can hardly stand up while at the same time elderly people walking around with no problem.</t>
  </si>
  <si>
    <t>2025-01-08T05:27:58Z</t>
  </si>
  <si>
    <t>So sad is so damn cold and they are just in their hospital gowns. They should had throw blankets on them at least. But hopefully at least everyone gets out safe. My brother and sister in law are in a nursing home in altadena evacuating the patience. They are both nurses.</t>
  </si>
  <si>
    <t>minutes</t>
  </si>
  <si>
    <t>published_at_utc</t>
  </si>
  <si>
    <t>Date of ignition in UTC</t>
  </si>
  <si>
    <t>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</si>
</sst>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Calibri"/>
      <family val="2"/>
    </font>
    <font>
      <b/>
      <sz val="11"/>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22" fontId="0" fillId="0" borderId="0" xfId="0" applyNumberFormat="1"/>
    <xf numFmtId="14" fontId="0" fillId="0" borderId="0" xfId="0" applyNumberFormat="1"/>
    <xf numFmtId="2" fontId="0" fillId="0" borderId="0" xfId="0" applyNumberFormat="1"/>
    <xf numFmtId="0" fontId="2" fillId="0" borderId="2" xfId="0" applyFont="1" applyBorder="1" applyAlignment="1">
      <alignment horizontal="center" vertical="top"/>
    </xf>
    <xf numFmtId="0" fontId="3" fillId="0" borderId="3" xfId="0" applyFont="1" applyBorder="1" applyAlignment="1">
      <alignment horizontal="center" vertical="top"/>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Histogram of Eaton Fire Notification Time (minutes)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Eaton Fire Notification Time (minutes)</a:t>
          </a:r>
        </a:p>
      </cx:txPr>
    </cx:title>
    <cx:plotArea>
      <cx:plotAreaRegion>
        <cx:series layoutId="clusteredColumn" uniqueId="{B4323858-4DED-4E7D-8855-0D4BE3744E91}">
          <cx:tx>
            <cx:txData>
              <cx:f>_xlchart.v1.0</cx:f>
              <cx:v>minutes</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Histogram of Eaton Fire Preparation Time (minutes)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Eaton Fire Preparation Time (minutes)</a:t>
          </a:r>
        </a:p>
      </cx:txPr>
    </cx:title>
    <cx:plotArea>
      <cx:plotAreaRegion>
        <cx:series layoutId="clusteredColumn" uniqueId="{ED1EE167-BFA3-49C2-84B6-B42F871FD9D9}">
          <cx:tx>
            <cx:txData>
              <cx:f>_xlchart.v1.2</cx:f>
              <cx:v>minutes</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Histogram of Eaton Fire Evacuation Time (minutes)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Eaton Fire Evacuation Time (minutes)</a:t>
          </a:r>
        </a:p>
      </cx:txPr>
    </cx:title>
    <cx:plotArea>
      <cx:plotAreaRegion>
        <cx:series layoutId="clusteredColumn" uniqueId="{029658A6-7DCA-4025-8FE3-B6660E945A33}">
          <cx:tx>
            <cx:txData>
              <cx:f>_xlchart.v1.4</cx:f>
              <cx:v>minutes</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5</xdr:col>
      <xdr:colOff>473075</xdr:colOff>
      <xdr:row>9</xdr:row>
      <xdr:rowOff>139700</xdr:rowOff>
    </xdr:from>
    <xdr:to>
      <xdr:col>12</xdr:col>
      <xdr:colOff>9525</xdr:colOff>
      <xdr:row>24</xdr:row>
      <xdr:rowOff>120650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A672BAD-166E-B43D-94BB-1FF276159F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51375" y="17970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708025</xdr:colOff>
      <xdr:row>9</xdr:row>
      <xdr:rowOff>139700</xdr:rowOff>
    </xdr:from>
    <xdr:to>
      <xdr:col>12</xdr:col>
      <xdr:colOff>257175</xdr:colOff>
      <xdr:row>24</xdr:row>
      <xdr:rowOff>120650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A135184-00B5-8F6B-5938-C98D113EF1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51375" y="17970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695325</xdr:colOff>
      <xdr:row>9</xdr:row>
      <xdr:rowOff>139700</xdr:rowOff>
    </xdr:from>
    <xdr:to>
      <xdr:col>11</xdr:col>
      <xdr:colOff>593725</xdr:colOff>
      <xdr:row>24</xdr:row>
      <xdr:rowOff>120650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761105E-1250-59CA-29ED-437B344BF5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51375" y="17970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2"/>
  <sheetViews>
    <sheetView tabSelected="1" workbookViewId="0">
      <selection activeCell="C2" sqref="C2"/>
    </sheetView>
  </sheetViews>
  <sheetFormatPr defaultRowHeight="14.5" x14ac:dyDescent="0.35"/>
  <cols>
    <col min="1" max="1" width="12" bestFit="1" customWidth="1"/>
    <col min="2" max="2" width="10.7265625" bestFit="1" customWidth="1"/>
    <col min="3" max="3" width="19.26953125" bestFit="1" customWidth="1"/>
    <col min="4" max="4" width="9.54296875" bestFit="1" customWidth="1"/>
    <col min="5" max="5" width="255.6328125" bestFit="1" customWidth="1"/>
  </cols>
  <sheetData>
    <row r="1" spans="1:5" x14ac:dyDescent="0.35">
      <c r="A1" s="1" t="s">
        <v>0</v>
      </c>
      <c r="B1" s="1" t="s">
        <v>1</v>
      </c>
      <c r="C1" s="7" t="s">
        <v>632</v>
      </c>
      <c r="D1" s="1" t="s">
        <v>2</v>
      </c>
      <c r="E1" s="1" t="s">
        <v>3</v>
      </c>
    </row>
    <row r="2" spans="1:5" x14ac:dyDescent="0.35">
      <c r="A2" t="s">
        <v>4</v>
      </c>
      <c r="B2" t="s">
        <v>5</v>
      </c>
      <c r="C2" t="s">
        <v>6</v>
      </c>
      <c r="D2">
        <v>2</v>
      </c>
      <c r="E2" t="s">
        <v>7</v>
      </c>
    </row>
    <row r="3" spans="1:5" x14ac:dyDescent="0.35">
      <c r="A3" t="s">
        <v>4</v>
      </c>
      <c r="B3" t="s">
        <v>5</v>
      </c>
      <c r="C3" t="s">
        <v>8</v>
      </c>
      <c r="D3">
        <v>3</v>
      </c>
      <c r="E3" t="s">
        <v>9</v>
      </c>
    </row>
    <row r="4" spans="1:5" x14ac:dyDescent="0.35">
      <c r="A4" t="s">
        <v>4</v>
      </c>
      <c r="B4" t="s">
        <v>10</v>
      </c>
      <c r="C4" t="s">
        <v>11</v>
      </c>
      <c r="D4">
        <v>0</v>
      </c>
      <c r="E4" t="s">
        <v>12</v>
      </c>
    </row>
    <row r="5" spans="1:5" x14ac:dyDescent="0.35">
      <c r="A5" t="s">
        <v>4</v>
      </c>
      <c r="B5" t="s">
        <v>5</v>
      </c>
      <c r="C5" t="s">
        <v>13</v>
      </c>
      <c r="D5">
        <v>0</v>
      </c>
      <c r="E5" t="s">
        <v>14</v>
      </c>
    </row>
    <row r="6" spans="1:5" x14ac:dyDescent="0.35">
      <c r="A6" t="s">
        <v>4</v>
      </c>
      <c r="B6" t="s">
        <v>5</v>
      </c>
      <c r="C6" t="s">
        <v>15</v>
      </c>
      <c r="D6">
        <v>0</v>
      </c>
      <c r="E6" t="s">
        <v>16</v>
      </c>
    </row>
    <row r="7" spans="1:5" x14ac:dyDescent="0.35">
      <c r="A7" t="s">
        <v>4</v>
      </c>
      <c r="B7" t="s">
        <v>5</v>
      </c>
      <c r="C7" t="s">
        <v>17</v>
      </c>
      <c r="D7">
        <v>1</v>
      </c>
      <c r="E7" t="s">
        <v>18</v>
      </c>
    </row>
    <row r="8" spans="1:5" x14ac:dyDescent="0.35">
      <c r="A8" t="s">
        <v>4</v>
      </c>
      <c r="B8" t="s">
        <v>5</v>
      </c>
      <c r="C8" t="s">
        <v>19</v>
      </c>
      <c r="D8">
        <v>0</v>
      </c>
      <c r="E8" t="s">
        <v>20</v>
      </c>
    </row>
    <row r="9" spans="1:5" x14ac:dyDescent="0.35">
      <c r="A9" t="s">
        <v>4</v>
      </c>
      <c r="B9" t="s">
        <v>21</v>
      </c>
      <c r="C9" t="s">
        <v>22</v>
      </c>
      <c r="D9">
        <v>0</v>
      </c>
      <c r="E9" t="s">
        <v>23</v>
      </c>
    </row>
    <row r="10" spans="1:5" x14ac:dyDescent="0.35">
      <c r="A10" t="s">
        <v>4</v>
      </c>
      <c r="B10" t="s">
        <v>10</v>
      </c>
      <c r="C10" t="s">
        <v>24</v>
      </c>
      <c r="D10">
        <v>0</v>
      </c>
      <c r="E10" t="s">
        <v>25</v>
      </c>
    </row>
    <row r="11" spans="1:5" x14ac:dyDescent="0.35">
      <c r="A11" t="s">
        <v>4</v>
      </c>
      <c r="B11" t="s">
        <v>5</v>
      </c>
      <c r="C11" t="s">
        <v>26</v>
      </c>
      <c r="D11">
        <v>0</v>
      </c>
      <c r="E11" t="s">
        <v>27</v>
      </c>
    </row>
    <row r="12" spans="1:5" x14ac:dyDescent="0.35">
      <c r="A12" t="s">
        <v>4</v>
      </c>
      <c r="B12" t="s">
        <v>21</v>
      </c>
      <c r="C12" t="s">
        <v>28</v>
      </c>
      <c r="D12">
        <v>4</v>
      </c>
      <c r="E12" t="s">
        <v>29</v>
      </c>
    </row>
    <row r="13" spans="1:5" x14ac:dyDescent="0.35">
      <c r="A13" t="s">
        <v>4</v>
      </c>
      <c r="B13" t="s">
        <v>21</v>
      </c>
      <c r="C13" t="s">
        <v>30</v>
      </c>
      <c r="D13">
        <v>0</v>
      </c>
      <c r="E13" t="s">
        <v>31</v>
      </c>
    </row>
    <row r="14" spans="1:5" x14ac:dyDescent="0.35">
      <c r="A14" t="s">
        <v>4</v>
      </c>
      <c r="B14" t="s">
        <v>10</v>
      </c>
      <c r="C14" t="s">
        <v>32</v>
      </c>
      <c r="D14">
        <v>1</v>
      </c>
      <c r="E14" t="s">
        <v>33</v>
      </c>
    </row>
    <row r="15" spans="1:5" x14ac:dyDescent="0.35">
      <c r="A15" t="s">
        <v>4</v>
      </c>
      <c r="B15" t="s">
        <v>10</v>
      </c>
      <c r="C15" t="s">
        <v>34</v>
      </c>
      <c r="D15">
        <v>33</v>
      </c>
      <c r="E15" t="s">
        <v>35</v>
      </c>
    </row>
    <row r="16" spans="1:5" x14ac:dyDescent="0.35">
      <c r="A16" t="s">
        <v>4</v>
      </c>
      <c r="B16" t="s">
        <v>10</v>
      </c>
      <c r="C16" t="s">
        <v>36</v>
      </c>
      <c r="D16">
        <v>14</v>
      </c>
      <c r="E16" t="s">
        <v>37</v>
      </c>
    </row>
    <row r="17" spans="1:5" x14ac:dyDescent="0.35">
      <c r="A17" t="s">
        <v>4</v>
      </c>
      <c r="B17" t="s">
        <v>5</v>
      </c>
      <c r="C17" t="s">
        <v>38</v>
      </c>
      <c r="D17">
        <v>0</v>
      </c>
      <c r="E17" t="s">
        <v>39</v>
      </c>
    </row>
    <row r="18" spans="1:5" x14ac:dyDescent="0.35">
      <c r="A18" t="s">
        <v>4</v>
      </c>
      <c r="B18" t="s">
        <v>5</v>
      </c>
      <c r="C18" t="s">
        <v>40</v>
      </c>
      <c r="D18">
        <v>0</v>
      </c>
      <c r="E18" t="s">
        <v>41</v>
      </c>
    </row>
    <row r="19" spans="1:5" x14ac:dyDescent="0.35">
      <c r="A19" t="s">
        <v>4</v>
      </c>
      <c r="B19" t="s">
        <v>10</v>
      </c>
      <c r="C19" t="s">
        <v>42</v>
      </c>
      <c r="D19">
        <v>0</v>
      </c>
      <c r="E19" t="s">
        <v>43</v>
      </c>
    </row>
    <row r="20" spans="1:5" x14ac:dyDescent="0.35">
      <c r="A20" t="s">
        <v>4</v>
      </c>
      <c r="B20" t="s">
        <v>5</v>
      </c>
      <c r="C20" t="s">
        <v>44</v>
      </c>
      <c r="D20">
        <v>1</v>
      </c>
      <c r="E20" t="s">
        <v>45</v>
      </c>
    </row>
    <row r="21" spans="1:5" x14ac:dyDescent="0.35">
      <c r="A21" t="s">
        <v>4</v>
      </c>
      <c r="B21" t="s">
        <v>10</v>
      </c>
      <c r="C21" t="s">
        <v>46</v>
      </c>
      <c r="D21">
        <v>0</v>
      </c>
      <c r="E21" t="s">
        <v>47</v>
      </c>
    </row>
    <row r="22" spans="1:5" x14ac:dyDescent="0.35">
      <c r="A22" t="s">
        <v>4</v>
      </c>
      <c r="B22" t="s">
        <v>5</v>
      </c>
      <c r="C22" t="s">
        <v>48</v>
      </c>
      <c r="D22">
        <v>0</v>
      </c>
      <c r="E22" t="s">
        <v>49</v>
      </c>
    </row>
    <row r="23" spans="1:5" x14ac:dyDescent="0.35">
      <c r="A23" t="s">
        <v>4</v>
      </c>
      <c r="B23" t="s">
        <v>5</v>
      </c>
      <c r="C23" t="s">
        <v>50</v>
      </c>
      <c r="D23">
        <v>0</v>
      </c>
      <c r="E23" t="s">
        <v>51</v>
      </c>
    </row>
    <row r="24" spans="1:5" x14ac:dyDescent="0.35">
      <c r="A24" t="s">
        <v>4</v>
      </c>
      <c r="B24" t="s">
        <v>10</v>
      </c>
      <c r="C24" t="s">
        <v>52</v>
      </c>
      <c r="D24">
        <v>1</v>
      </c>
      <c r="E24" t="s">
        <v>53</v>
      </c>
    </row>
    <row r="25" spans="1:5" x14ac:dyDescent="0.35">
      <c r="A25" t="s">
        <v>4</v>
      </c>
      <c r="B25" t="s">
        <v>5</v>
      </c>
      <c r="C25" t="s">
        <v>54</v>
      </c>
      <c r="D25">
        <v>1</v>
      </c>
      <c r="E25" t="s">
        <v>55</v>
      </c>
    </row>
    <row r="26" spans="1:5" x14ac:dyDescent="0.35">
      <c r="A26" t="s">
        <v>4</v>
      </c>
      <c r="B26" t="s">
        <v>5</v>
      </c>
      <c r="C26" t="s">
        <v>56</v>
      </c>
      <c r="D26">
        <v>0</v>
      </c>
      <c r="E26" t="s">
        <v>57</v>
      </c>
    </row>
    <row r="27" spans="1:5" x14ac:dyDescent="0.35">
      <c r="A27" t="s">
        <v>4</v>
      </c>
      <c r="B27" t="s">
        <v>21</v>
      </c>
      <c r="C27" t="s">
        <v>58</v>
      </c>
      <c r="D27">
        <v>0</v>
      </c>
      <c r="E27" t="s">
        <v>59</v>
      </c>
    </row>
    <row r="28" spans="1:5" x14ac:dyDescent="0.35">
      <c r="A28" t="s">
        <v>4</v>
      </c>
      <c r="B28" t="s">
        <v>5</v>
      </c>
      <c r="C28" t="s">
        <v>60</v>
      </c>
      <c r="D28">
        <v>0</v>
      </c>
      <c r="E28" t="s">
        <v>61</v>
      </c>
    </row>
    <row r="29" spans="1:5" x14ac:dyDescent="0.35">
      <c r="A29" t="s">
        <v>4</v>
      </c>
      <c r="B29" t="s">
        <v>5</v>
      </c>
      <c r="C29" t="s">
        <v>62</v>
      </c>
      <c r="D29">
        <v>0</v>
      </c>
      <c r="E29" t="s">
        <v>63</v>
      </c>
    </row>
    <row r="30" spans="1:5" x14ac:dyDescent="0.35">
      <c r="A30" t="s">
        <v>4</v>
      </c>
      <c r="B30" t="s">
        <v>21</v>
      </c>
      <c r="C30" t="s">
        <v>64</v>
      </c>
      <c r="D30">
        <v>6</v>
      </c>
      <c r="E30" t="s">
        <v>65</v>
      </c>
    </row>
    <row r="31" spans="1:5" x14ac:dyDescent="0.35">
      <c r="A31" t="s">
        <v>4</v>
      </c>
      <c r="B31" t="s">
        <v>10</v>
      </c>
      <c r="C31" t="s">
        <v>66</v>
      </c>
      <c r="D31">
        <v>28</v>
      </c>
      <c r="E31" t="s">
        <v>67</v>
      </c>
    </row>
    <row r="32" spans="1:5" x14ac:dyDescent="0.35">
      <c r="A32" t="s">
        <v>4</v>
      </c>
      <c r="B32" t="s">
        <v>5</v>
      </c>
      <c r="C32" t="s">
        <v>68</v>
      </c>
      <c r="D32">
        <v>0</v>
      </c>
      <c r="E32" t="s">
        <v>69</v>
      </c>
    </row>
    <row r="33" spans="1:5" x14ac:dyDescent="0.35">
      <c r="A33" t="s">
        <v>4</v>
      </c>
      <c r="B33" t="s">
        <v>5</v>
      </c>
      <c r="C33" t="s">
        <v>70</v>
      </c>
      <c r="D33">
        <v>1</v>
      </c>
      <c r="E33" t="s">
        <v>71</v>
      </c>
    </row>
    <row r="34" spans="1:5" x14ac:dyDescent="0.35">
      <c r="A34" t="s">
        <v>4</v>
      </c>
      <c r="B34" t="s">
        <v>5</v>
      </c>
      <c r="C34" t="s">
        <v>72</v>
      </c>
      <c r="D34">
        <v>1</v>
      </c>
      <c r="E34" t="s">
        <v>69</v>
      </c>
    </row>
    <row r="35" spans="1:5" x14ac:dyDescent="0.35">
      <c r="A35" t="s">
        <v>4</v>
      </c>
      <c r="B35" t="s">
        <v>5</v>
      </c>
      <c r="C35" t="s">
        <v>73</v>
      </c>
      <c r="D35">
        <v>0</v>
      </c>
      <c r="E35" t="s">
        <v>74</v>
      </c>
    </row>
    <row r="36" spans="1:5" x14ac:dyDescent="0.35">
      <c r="A36" t="s">
        <v>4</v>
      </c>
      <c r="B36" t="s">
        <v>21</v>
      </c>
      <c r="C36" t="s">
        <v>75</v>
      </c>
      <c r="D36">
        <v>0</v>
      </c>
      <c r="E36" t="s">
        <v>76</v>
      </c>
    </row>
    <row r="37" spans="1:5" x14ac:dyDescent="0.35">
      <c r="A37" t="s">
        <v>4</v>
      </c>
      <c r="B37" t="s">
        <v>5</v>
      </c>
      <c r="C37" t="s">
        <v>77</v>
      </c>
      <c r="D37">
        <v>0</v>
      </c>
      <c r="E37" t="s">
        <v>78</v>
      </c>
    </row>
    <row r="38" spans="1:5" x14ac:dyDescent="0.35">
      <c r="A38" t="s">
        <v>4</v>
      </c>
      <c r="B38" t="s">
        <v>5</v>
      </c>
      <c r="C38" t="s">
        <v>79</v>
      </c>
      <c r="D38">
        <v>0</v>
      </c>
      <c r="E38" t="s">
        <v>80</v>
      </c>
    </row>
    <row r="39" spans="1:5" x14ac:dyDescent="0.35">
      <c r="A39" t="s">
        <v>4</v>
      </c>
      <c r="B39" t="s">
        <v>5</v>
      </c>
      <c r="C39" t="s">
        <v>81</v>
      </c>
      <c r="D39">
        <v>0</v>
      </c>
      <c r="E39" t="s">
        <v>82</v>
      </c>
    </row>
    <row r="40" spans="1:5" x14ac:dyDescent="0.35">
      <c r="A40" t="s">
        <v>4</v>
      </c>
      <c r="B40" t="s">
        <v>5</v>
      </c>
      <c r="C40" t="s">
        <v>83</v>
      </c>
      <c r="D40">
        <v>0</v>
      </c>
      <c r="E40" t="s">
        <v>84</v>
      </c>
    </row>
    <row r="41" spans="1:5" x14ac:dyDescent="0.35">
      <c r="A41" t="s">
        <v>4</v>
      </c>
      <c r="B41" t="s">
        <v>21</v>
      </c>
      <c r="C41" t="s">
        <v>85</v>
      </c>
      <c r="D41">
        <v>0</v>
      </c>
      <c r="E41" t="s">
        <v>86</v>
      </c>
    </row>
    <row r="42" spans="1:5" x14ac:dyDescent="0.35">
      <c r="A42" t="s">
        <v>4</v>
      </c>
      <c r="B42" t="s">
        <v>10</v>
      </c>
      <c r="C42" t="s">
        <v>87</v>
      </c>
      <c r="D42">
        <v>0</v>
      </c>
      <c r="E42" t="s">
        <v>88</v>
      </c>
    </row>
    <row r="43" spans="1:5" x14ac:dyDescent="0.35">
      <c r="A43" t="s">
        <v>4</v>
      </c>
      <c r="B43" t="s">
        <v>5</v>
      </c>
      <c r="C43" t="s">
        <v>89</v>
      </c>
      <c r="D43">
        <v>0</v>
      </c>
      <c r="E43" t="s">
        <v>90</v>
      </c>
    </row>
    <row r="44" spans="1:5" x14ac:dyDescent="0.35">
      <c r="A44" t="s">
        <v>4</v>
      </c>
      <c r="B44" t="s">
        <v>10</v>
      </c>
      <c r="C44" t="s">
        <v>91</v>
      </c>
      <c r="D44">
        <v>2</v>
      </c>
      <c r="E44" t="s">
        <v>92</v>
      </c>
    </row>
    <row r="45" spans="1:5" x14ac:dyDescent="0.35">
      <c r="A45" t="s">
        <v>4</v>
      </c>
      <c r="B45" t="s">
        <v>5</v>
      </c>
      <c r="C45" t="s">
        <v>93</v>
      </c>
      <c r="D45">
        <v>0</v>
      </c>
      <c r="E45" t="s">
        <v>94</v>
      </c>
    </row>
    <row r="46" spans="1:5" x14ac:dyDescent="0.35">
      <c r="A46" t="s">
        <v>4</v>
      </c>
      <c r="B46" t="s">
        <v>5</v>
      </c>
      <c r="C46" t="s">
        <v>95</v>
      </c>
      <c r="D46">
        <v>0</v>
      </c>
      <c r="E46" t="s">
        <v>96</v>
      </c>
    </row>
    <row r="47" spans="1:5" x14ac:dyDescent="0.35">
      <c r="A47" t="s">
        <v>4</v>
      </c>
      <c r="B47" t="s">
        <v>5</v>
      </c>
      <c r="C47" t="s">
        <v>97</v>
      </c>
      <c r="D47">
        <v>0</v>
      </c>
      <c r="E47" t="s">
        <v>98</v>
      </c>
    </row>
    <row r="48" spans="1:5" x14ac:dyDescent="0.35">
      <c r="A48" t="s">
        <v>4</v>
      </c>
      <c r="B48" t="s">
        <v>5</v>
      </c>
      <c r="C48" t="s">
        <v>99</v>
      </c>
      <c r="D48">
        <v>0</v>
      </c>
      <c r="E48" t="s">
        <v>100</v>
      </c>
    </row>
    <row r="49" spans="1:5" x14ac:dyDescent="0.35">
      <c r="A49" t="s">
        <v>4</v>
      </c>
      <c r="B49" t="s">
        <v>5</v>
      </c>
      <c r="C49" t="s">
        <v>101</v>
      </c>
      <c r="D49">
        <v>0</v>
      </c>
      <c r="E49" t="s">
        <v>102</v>
      </c>
    </row>
    <row r="50" spans="1:5" x14ac:dyDescent="0.35">
      <c r="A50" t="s">
        <v>4</v>
      </c>
      <c r="B50" t="s">
        <v>5</v>
      </c>
      <c r="C50" t="s">
        <v>103</v>
      </c>
      <c r="D50">
        <v>0</v>
      </c>
      <c r="E50" t="s">
        <v>104</v>
      </c>
    </row>
    <row r="51" spans="1:5" x14ac:dyDescent="0.35">
      <c r="A51" t="s">
        <v>4</v>
      </c>
      <c r="B51" t="s">
        <v>5</v>
      </c>
      <c r="C51" t="s">
        <v>105</v>
      </c>
      <c r="D51">
        <v>0</v>
      </c>
      <c r="E51" t="s">
        <v>106</v>
      </c>
    </row>
    <row r="52" spans="1:5" x14ac:dyDescent="0.35">
      <c r="A52" t="s">
        <v>4</v>
      </c>
      <c r="B52" t="s">
        <v>5</v>
      </c>
      <c r="C52" t="s">
        <v>107</v>
      </c>
      <c r="D52">
        <v>0</v>
      </c>
      <c r="E52" t="s">
        <v>108</v>
      </c>
    </row>
    <row r="53" spans="1:5" x14ac:dyDescent="0.35">
      <c r="A53" t="s">
        <v>4</v>
      </c>
      <c r="B53" t="s">
        <v>5</v>
      </c>
      <c r="C53" t="s">
        <v>109</v>
      </c>
      <c r="D53">
        <v>0</v>
      </c>
      <c r="E53" t="s">
        <v>110</v>
      </c>
    </row>
    <row r="54" spans="1:5" x14ac:dyDescent="0.35">
      <c r="A54" t="s">
        <v>4</v>
      </c>
      <c r="B54" t="s">
        <v>5</v>
      </c>
      <c r="C54" t="s">
        <v>111</v>
      </c>
      <c r="D54">
        <v>0</v>
      </c>
      <c r="E54" t="s">
        <v>112</v>
      </c>
    </row>
    <row r="55" spans="1:5" x14ac:dyDescent="0.35">
      <c r="A55" t="s">
        <v>4</v>
      </c>
      <c r="B55" t="s">
        <v>5</v>
      </c>
      <c r="C55" t="s">
        <v>113</v>
      </c>
      <c r="D55">
        <v>0</v>
      </c>
      <c r="E55" t="s">
        <v>114</v>
      </c>
    </row>
    <row r="56" spans="1:5" x14ac:dyDescent="0.35">
      <c r="A56" t="s">
        <v>4</v>
      </c>
      <c r="B56" t="s">
        <v>5</v>
      </c>
      <c r="C56" t="s">
        <v>115</v>
      </c>
      <c r="D56">
        <v>0</v>
      </c>
      <c r="E56" t="s">
        <v>116</v>
      </c>
    </row>
    <row r="57" spans="1:5" x14ac:dyDescent="0.35">
      <c r="A57" t="s">
        <v>4</v>
      </c>
      <c r="B57" t="s">
        <v>5</v>
      </c>
      <c r="C57" t="s">
        <v>117</v>
      </c>
      <c r="D57">
        <v>0</v>
      </c>
      <c r="E57" t="s">
        <v>118</v>
      </c>
    </row>
    <row r="58" spans="1:5" x14ac:dyDescent="0.35">
      <c r="A58" t="s">
        <v>4</v>
      </c>
      <c r="B58" t="s">
        <v>5</v>
      </c>
      <c r="C58" t="s">
        <v>119</v>
      </c>
      <c r="D58">
        <v>1</v>
      </c>
      <c r="E58" t="s">
        <v>120</v>
      </c>
    </row>
    <row r="59" spans="1:5" x14ac:dyDescent="0.35">
      <c r="A59" t="s">
        <v>4</v>
      </c>
      <c r="B59" t="s">
        <v>10</v>
      </c>
      <c r="C59" t="s">
        <v>121</v>
      </c>
      <c r="D59">
        <v>0</v>
      </c>
      <c r="E59" t="s">
        <v>122</v>
      </c>
    </row>
    <row r="60" spans="1:5" x14ac:dyDescent="0.35">
      <c r="A60" t="s">
        <v>4</v>
      </c>
      <c r="B60" t="s">
        <v>21</v>
      </c>
      <c r="C60" t="s">
        <v>123</v>
      </c>
      <c r="D60">
        <v>2</v>
      </c>
      <c r="E60" t="s">
        <v>124</v>
      </c>
    </row>
    <row r="61" spans="1:5" x14ac:dyDescent="0.35">
      <c r="A61" t="s">
        <v>4</v>
      </c>
      <c r="B61" t="s">
        <v>125</v>
      </c>
      <c r="C61" t="s">
        <v>126</v>
      </c>
      <c r="D61">
        <v>0</v>
      </c>
      <c r="E61" t="s">
        <v>127</v>
      </c>
    </row>
    <row r="62" spans="1:5" x14ac:dyDescent="0.35">
      <c r="A62" t="s">
        <v>4</v>
      </c>
      <c r="B62" t="s">
        <v>5</v>
      </c>
      <c r="C62" t="s">
        <v>128</v>
      </c>
      <c r="D62">
        <v>1</v>
      </c>
      <c r="E62" t="s">
        <v>129</v>
      </c>
    </row>
    <row r="63" spans="1:5" x14ac:dyDescent="0.35">
      <c r="A63" t="s">
        <v>4</v>
      </c>
      <c r="B63" t="s">
        <v>5</v>
      </c>
      <c r="C63" t="s">
        <v>130</v>
      </c>
      <c r="D63">
        <v>0</v>
      </c>
      <c r="E63" t="s">
        <v>131</v>
      </c>
    </row>
    <row r="64" spans="1:5" x14ac:dyDescent="0.35">
      <c r="A64" t="s">
        <v>4</v>
      </c>
      <c r="B64" t="s">
        <v>5</v>
      </c>
      <c r="C64" t="s">
        <v>132</v>
      </c>
      <c r="D64">
        <v>0</v>
      </c>
      <c r="E64" t="s">
        <v>133</v>
      </c>
    </row>
    <row r="65" spans="1:5" x14ac:dyDescent="0.35">
      <c r="A65" t="s">
        <v>4</v>
      </c>
      <c r="B65" t="s">
        <v>5</v>
      </c>
      <c r="C65" t="s">
        <v>134</v>
      </c>
      <c r="D65">
        <v>1</v>
      </c>
      <c r="E65" t="s">
        <v>135</v>
      </c>
    </row>
    <row r="66" spans="1:5" x14ac:dyDescent="0.35">
      <c r="A66" t="s">
        <v>4</v>
      </c>
      <c r="B66" t="s">
        <v>5</v>
      </c>
      <c r="C66" t="s">
        <v>136</v>
      </c>
      <c r="D66">
        <v>0</v>
      </c>
      <c r="E66" t="s">
        <v>137</v>
      </c>
    </row>
    <row r="67" spans="1:5" x14ac:dyDescent="0.35">
      <c r="A67" t="s">
        <v>4</v>
      </c>
      <c r="B67" t="s">
        <v>10</v>
      </c>
      <c r="C67" t="s">
        <v>138</v>
      </c>
      <c r="D67">
        <v>0</v>
      </c>
      <c r="E67" t="s">
        <v>139</v>
      </c>
    </row>
    <row r="68" spans="1:5" x14ac:dyDescent="0.35">
      <c r="A68" t="s">
        <v>4</v>
      </c>
      <c r="B68" t="s">
        <v>5</v>
      </c>
      <c r="C68" t="s">
        <v>140</v>
      </c>
      <c r="D68">
        <v>1</v>
      </c>
      <c r="E68" t="s">
        <v>141</v>
      </c>
    </row>
    <row r="69" spans="1:5" x14ac:dyDescent="0.35">
      <c r="A69" t="s">
        <v>4</v>
      </c>
      <c r="B69" t="s">
        <v>10</v>
      </c>
      <c r="C69" t="s">
        <v>142</v>
      </c>
      <c r="D69">
        <v>0</v>
      </c>
      <c r="E69" t="s">
        <v>143</v>
      </c>
    </row>
    <row r="70" spans="1:5" x14ac:dyDescent="0.35">
      <c r="A70" t="s">
        <v>4</v>
      </c>
      <c r="B70" t="s">
        <v>5</v>
      </c>
      <c r="C70" t="s">
        <v>144</v>
      </c>
      <c r="D70">
        <v>0</v>
      </c>
      <c r="E70" t="s">
        <v>145</v>
      </c>
    </row>
    <row r="71" spans="1:5" x14ac:dyDescent="0.35">
      <c r="A71" t="s">
        <v>4</v>
      </c>
      <c r="B71" t="s">
        <v>5</v>
      </c>
      <c r="C71" t="s">
        <v>146</v>
      </c>
      <c r="D71">
        <v>1</v>
      </c>
      <c r="E71" t="s">
        <v>147</v>
      </c>
    </row>
    <row r="72" spans="1:5" x14ac:dyDescent="0.35">
      <c r="A72" t="s">
        <v>4</v>
      </c>
      <c r="B72" t="s">
        <v>10</v>
      </c>
      <c r="C72" t="s">
        <v>148</v>
      </c>
      <c r="D72">
        <v>0</v>
      </c>
      <c r="E72" t="s">
        <v>149</v>
      </c>
    </row>
    <row r="73" spans="1:5" x14ac:dyDescent="0.35">
      <c r="A73" t="s">
        <v>4</v>
      </c>
      <c r="B73" t="s">
        <v>10</v>
      </c>
      <c r="C73" t="s">
        <v>150</v>
      </c>
      <c r="D73">
        <v>10</v>
      </c>
      <c r="E73" t="s">
        <v>151</v>
      </c>
    </row>
    <row r="74" spans="1:5" x14ac:dyDescent="0.35">
      <c r="A74" t="s">
        <v>4</v>
      </c>
      <c r="B74" t="s">
        <v>5</v>
      </c>
      <c r="C74" t="s">
        <v>152</v>
      </c>
      <c r="D74">
        <v>0</v>
      </c>
      <c r="E74" t="s">
        <v>153</v>
      </c>
    </row>
    <row r="75" spans="1:5" x14ac:dyDescent="0.35">
      <c r="A75" t="s">
        <v>4</v>
      </c>
      <c r="B75" t="s">
        <v>5</v>
      </c>
      <c r="C75" t="s">
        <v>154</v>
      </c>
      <c r="D75">
        <v>0</v>
      </c>
      <c r="E75" t="s">
        <v>155</v>
      </c>
    </row>
    <row r="76" spans="1:5" x14ac:dyDescent="0.35">
      <c r="A76" t="s">
        <v>4</v>
      </c>
      <c r="B76" t="s">
        <v>21</v>
      </c>
      <c r="C76" t="s">
        <v>156</v>
      </c>
      <c r="D76">
        <v>0</v>
      </c>
      <c r="E76" t="s">
        <v>157</v>
      </c>
    </row>
    <row r="77" spans="1:5" x14ac:dyDescent="0.35">
      <c r="A77" t="s">
        <v>4</v>
      </c>
      <c r="B77" t="s">
        <v>21</v>
      </c>
      <c r="C77" t="s">
        <v>158</v>
      </c>
      <c r="D77">
        <v>1</v>
      </c>
      <c r="E77" t="s">
        <v>159</v>
      </c>
    </row>
    <row r="78" spans="1:5" x14ac:dyDescent="0.35">
      <c r="A78" t="s">
        <v>4</v>
      </c>
      <c r="B78" t="s">
        <v>5</v>
      </c>
      <c r="C78" t="s">
        <v>160</v>
      </c>
      <c r="D78">
        <v>1</v>
      </c>
      <c r="E78" t="s">
        <v>161</v>
      </c>
    </row>
    <row r="79" spans="1:5" x14ac:dyDescent="0.35">
      <c r="A79" t="s">
        <v>4</v>
      </c>
      <c r="B79" t="s">
        <v>10</v>
      </c>
      <c r="C79" t="s">
        <v>162</v>
      </c>
      <c r="D79">
        <v>1</v>
      </c>
      <c r="E79" t="s">
        <v>163</v>
      </c>
    </row>
    <row r="80" spans="1:5" x14ac:dyDescent="0.35">
      <c r="A80" t="s">
        <v>4</v>
      </c>
      <c r="B80" t="s">
        <v>5</v>
      </c>
      <c r="C80" t="s">
        <v>164</v>
      </c>
      <c r="D80">
        <v>1</v>
      </c>
      <c r="E80" t="s">
        <v>165</v>
      </c>
    </row>
    <row r="81" spans="1:5" x14ac:dyDescent="0.35">
      <c r="A81" t="s">
        <v>4</v>
      </c>
      <c r="B81" t="s">
        <v>5</v>
      </c>
      <c r="C81" t="s">
        <v>166</v>
      </c>
      <c r="D81">
        <v>0</v>
      </c>
      <c r="E81" t="s">
        <v>167</v>
      </c>
    </row>
    <row r="82" spans="1:5" x14ac:dyDescent="0.35">
      <c r="A82" t="s">
        <v>4</v>
      </c>
      <c r="B82" t="s">
        <v>5</v>
      </c>
      <c r="C82" t="s">
        <v>168</v>
      </c>
      <c r="D82">
        <v>1</v>
      </c>
      <c r="E82" t="s">
        <v>169</v>
      </c>
    </row>
    <row r="83" spans="1:5" x14ac:dyDescent="0.35">
      <c r="A83" t="s">
        <v>4</v>
      </c>
      <c r="B83" t="s">
        <v>10</v>
      </c>
      <c r="C83" t="s">
        <v>170</v>
      </c>
      <c r="D83">
        <v>2</v>
      </c>
      <c r="E83" t="s">
        <v>171</v>
      </c>
    </row>
    <row r="84" spans="1:5" x14ac:dyDescent="0.35">
      <c r="A84" t="s">
        <v>4</v>
      </c>
      <c r="B84" t="s">
        <v>10</v>
      </c>
      <c r="C84" t="s">
        <v>172</v>
      </c>
      <c r="D84">
        <v>5</v>
      </c>
      <c r="E84" t="s">
        <v>173</v>
      </c>
    </row>
    <row r="85" spans="1:5" x14ac:dyDescent="0.35">
      <c r="A85" t="s">
        <v>4</v>
      </c>
      <c r="B85" t="s">
        <v>5</v>
      </c>
      <c r="C85" t="s">
        <v>174</v>
      </c>
      <c r="D85">
        <v>0</v>
      </c>
      <c r="E85" t="s">
        <v>175</v>
      </c>
    </row>
    <row r="86" spans="1:5" x14ac:dyDescent="0.35">
      <c r="A86" t="s">
        <v>4</v>
      </c>
      <c r="B86" t="s">
        <v>5</v>
      </c>
      <c r="C86" t="s">
        <v>176</v>
      </c>
      <c r="D86">
        <v>2</v>
      </c>
      <c r="E86" t="s">
        <v>177</v>
      </c>
    </row>
    <row r="87" spans="1:5" x14ac:dyDescent="0.35">
      <c r="A87" t="s">
        <v>4</v>
      </c>
      <c r="B87" t="s">
        <v>5</v>
      </c>
      <c r="C87" t="s">
        <v>178</v>
      </c>
      <c r="D87">
        <v>1</v>
      </c>
      <c r="E87" t="s">
        <v>179</v>
      </c>
    </row>
    <row r="88" spans="1:5" x14ac:dyDescent="0.35">
      <c r="A88" t="s">
        <v>4</v>
      </c>
      <c r="B88" t="s">
        <v>10</v>
      </c>
      <c r="C88" t="s">
        <v>180</v>
      </c>
      <c r="D88">
        <v>2</v>
      </c>
      <c r="E88" t="s">
        <v>181</v>
      </c>
    </row>
    <row r="89" spans="1:5" x14ac:dyDescent="0.35">
      <c r="A89" t="s">
        <v>4</v>
      </c>
      <c r="B89" t="s">
        <v>10</v>
      </c>
      <c r="C89" t="s">
        <v>182</v>
      </c>
      <c r="D89">
        <v>35</v>
      </c>
      <c r="E89" t="s">
        <v>183</v>
      </c>
    </row>
    <row r="90" spans="1:5" x14ac:dyDescent="0.35">
      <c r="A90" t="s">
        <v>4</v>
      </c>
      <c r="B90" t="s">
        <v>5</v>
      </c>
      <c r="C90" t="s">
        <v>184</v>
      </c>
      <c r="D90">
        <v>1</v>
      </c>
      <c r="E90" t="s">
        <v>185</v>
      </c>
    </row>
    <row r="91" spans="1:5" x14ac:dyDescent="0.35">
      <c r="A91" t="s">
        <v>4</v>
      </c>
      <c r="B91" t="s">
        <v>5</v>
      </c>
      <c r="C91" t="s">
        <v>186</v>
      </c>
      <c r="D91">
        <v>0</v>
      </c>
      <c r="E91" t="s">
        <v>187</v>
      </c>
    </row>
    <row r="92" spans="1:5" x14ac:dyDescent="0.35">
      <c r="A92" t="s">
        <v>4</v>
      </c>
      <c r="B92" t="s">
        <v>5</v>
      </c>
      <c r="C92" t="s">
        <v>188</v>
      </c>
      <c r="D92">
        <v>1</v>
      </c>
      <c r="E92" t="s">
        <v>189</v>
      </c>
    </row>
    <row r="93" spans="1:5" x14ac:dyDescent="0.35">
      <c r="A93" t="s">
        <v>4</v>
      </c>
      <c r="B93" t="s">
        <v>5</v>
      </c>
      <c r="C93" t="s">
        <v>190</v>
      </c>
      <c r="D93">
        <v>0</v>
      </c>
      <c r="E93" t="s">
        <v>191</v>
      </c>
    </row>
    <row r="94" spans="1:5" x14ac:dyDescent="0.35">
      <c r="A94" t="s">
        <v>4</v>
      </c>
      <c r="B94" t="s">
        <v>5</v>
      </c>
      <c r="C94" t="s">
        <v>192</v>
      </c>
      <c r="D94">
        <v>0</v>
      </c>
      <c r="E94" t="s">
        <v>193</v>
      </c>
    </row>
    <row r="95" spans="1:5" x14ac:dyDescent="0.35">
      <c r="A95" t="s">
        <v>4</v>
      </c>
      <c r="B95" t="s">
        <v>10</v>
      </c>
      <c r="C95" t="s">
        <v>194</v>
      </c>
      <c r="D95">
        <v>1</v>
      </c>
      <c r="E95" t="s">
        <v>195</v>
      </c>
    </row>
    <row r="96" spans="1:5" x14ac:dyDescent="0.35">
      <c r="A96" t="s">
        <v>4</v>
      </c>
      <c r="B96" t="s">
        <v>10</v>
      </c>
      <c r="C96" t="s">
        <v>196</v>
      </c>
      <c r="D96">
        <v>8</v>
      </c>
      <c r="E96" t="s">
        <v>197</v>
      </c>
    </row>
    <row r="97" spans="1:5" x14ac:dyDescent="0.35">
      <c r="A97" t="s">
        <v>4</v>
      </c>
      <c r="B97" t="s">
        <v>10</v>
      </c>
      <c r="C97" t="s">
        <v>198</v>
      </c>
      <c r="D97">
        <v>1</v>
      </c>
      <c r="E97" t="s">
        <v>199</v>
      </c>
    </row>
    <row r="98" spans="1:5" x14ac:dyDescent="0.35">
      <c r="A98" t="s">
        <v>4</v>
      </c>
      <c r="B98" t="s">
        <v>125</v>
      </c>
      <c r="C98" t="s">
        <v>200</v>
      </c>
      <c r="D98">
        <v>12</v>
      </c>
      <c r="E98" t="s">
        <v>201</v>
      </c>
    </row>
    <row r="99" spans="1:5" x14ac:dyDescent="0.35">
      <c r="A99" t="s">
        <v>4</v>
      </c>
      <c r="B99" t="s">
        <v>5</v>
      </c>
      <c r="C99" t="s">
        <v>202</v>
      </c>
      <c r="D99">
        <v>29</v>
      </c>
      <c r="E99" t="s">
        <v>203</v>
      </c>
    </row>
    <row r="100" spans="1:5" x14ac:dyDescent="0.35">
      <c r="A100" t="s">
        <v>4</v>
      </c>
      <c r="B100" t="s">
        <v>10</v>
      </c>
      <c r="C100" t="s">
        <v>204</v>
      </c>
      <c r="D100">
        <v>0</v>
      </c>
      <c r="E100" t="s">
        <v>205</v>
      </c>
    </row>
    <row r="101" spans="1:5" x14ac:dyDescent="0.35">
      <c r="A101" t="s">
        <v>4</v>
      </c>
      <c r="B101" t="s">
        <v>10</v>
      </c>
      <c r="C101" t="s">
        <v>206</v>
      </c>
      <c r="D101">
        <v>19</v>
      </c>
      <c r="E101" t="s">
        <v>207</v>
      </c>
    </row>
    <row r="102" spans="1:5" x14ac:dyDescent="0.35">
      <c r="A102" t="s">
        <v>4</v>
      </c>
      <c r="B102" t="s">
        <v>10</v>
      </c>
      <c r="C102" t="s">
        <v>208</v>
      </c>
      <c r="D102">
        <v>1</v>
      </c>
      <c r="E102" t="s">
        <v>209</v>
      </c>
    </row>
    <row r="103" spans="1:5" x14ac:dyDescent="0.35">
      <c r="A103" t="s">
        <v>4</v>
      </c>
      <c r="B103" t="s">
        <v>10</v>
      </c>
      <c r="C103" t="s">
        <v>210</v>
      </c>
      <c r="D103">
        <v>1</v>
      </c>
      <c r="E103" t="s">
        <v>211</v>
      </c>
    </row>
    <row r="104" spans="1:5" x14ac:dyDescent="0.35">
      <c r="A104" t="s">
        <v>4</v>
      </c>
      <c r="B104" t="s">
        <v>5</v>
      </c>
      <c r="C104" t="s">
        <v>212</v>
      </c>
      <c r="D104">
        <v>4</v>
      </c>
      <c r="E104" t="s">
        <v>213</v>
      </c>
    </row>
    <row r="105" spans="1:5" x14ac:dyDescent="0.35">
      <c r="A105" t="s">
        <v>4</v>
      </c>
      <c r="B105" t="s">
        <v>5</v>
      </c>
      <c r="C105" t="s">
        <v>214</v>
      </c>
      <c r="D105">
        <v>31</v>
      </c>
      <c r="E105" t="s">
        <v>215</v>
      </c>
    </row>
    <row r="106" spans="1:5" x14ac:dyDescent="0.35">
      <c r="A106" t="s">
        <v>4</v>
      </c>
      <c r="B106" t="s">
        <v>10</v>
      </c>
      <c r="C106" t="s">
        <v>216</v>
      </c>
      <c r="D106">
        <v>0</v>
      </c>
      <c r="E106" t="s">
        <v>217</v>
      </c>
    </row>
    <row r="107" spans="1:5" x14ac:dyDescent="0.35">
      <c r="A107" t="s">
        <v>4</v>
      </c>
      <c r="B107" t="s">
        <v>5</v>
      </c>
      <c r="C107" t="s">
        <v>218</v>
      </c>
      <c r="D107">
        <v>1</v>
      </c>
      <c r="E107" t="s">
        <v>219</v>
      </c>
    </row>
    <row r="108" spans="1:5" x14ac:dyDescent="0.35">
      <c r="A108" t="s">
        <v>4</v>
      </c>
      <c r="B108" t="s">
        <v>5</v>
      </c>
      <c r="C108" t="s">
        <v>220</v>
      </c>
      <c r="D108">
        <v>0</v>
      </c>
      <c r="E108" t="s">
        <v>221</v>
      </c>
    </row>
    <row r="109" spans="1:5" x14ac:dyDescent="0.35">
      <c r="A109" t="s">
        <v>4</v>
      </c>
      <c r="B109" t="s">
        <v>10</v>
      </c>
      <c r="C109" t="s">
        <v>222</v>
      </c>
      <c r="D109">
        <v>0</v>
      </c>
      <c r="E109" t="s">
        <v>223</v>
      </c>
    </row>
    <row r="110" spans="1:5" x14ac:dyDescent="0.35">
      <c r="A110" t="s">
        <v>4</v>
      </c>
      <c r="B110" t="s">
        <v>5</v>
      </c>
      <c r="C110" t="s">
        <v>119</v>
      </c>
      <c r="D110">
        <v>1</v>
      </c>
      <c r="E110" t="s">
        <v>120</v>
      </c>
    </row>
    <row r="111" spans="1:5" x14ac:dyDescent="0.35">
      <c r="A111" t="s">
        <v>4</v>
      </c>
      <c r="B111" t="s">
        <v>5</v>
      </c>
      <c r="C111" t="s">
        <v>99</v>
      </c>
      <c r="D111">
        <v>0</v>
      </c>
      <c r="E111" t="s">
        <v>100</v>
      </c>
    </row>
    <row r="112" spans="1:5" x14ac:dyDescent="0.35">
      <c r="A112" t="s">
        <v>4</v>
      </c>
      <c r="B112" t="s">
        <v>5</v>
      </c>
      <c r="C112" t="s">
        <v>101</v>
      </c>
      <c r="D112">
        <v>0</v>
      </c>
      <c r="E112" t="s">
        <v>102</v>
      </c>
    </row>
    <row r="113" spans="1:5" x14ac:dyDescent="0.35">
      <c r="A113" t="s">
        <v>4</v>
      </c>
      <c r="B113" t="s">
        <v>5</v>
      </c>
      <c r="C113" t="s">
        <v>103</v>
      </c>
      <c r="D113">
        <v>0</v>
      </c>
      <c r="E113" t="s">
        <v>104</v>
      </c>
    </row>
    <row r="114" spans="1:5" x14ac:dyDescent="0.35">
      <c r="A114" t="s">
        <v>4</v>
      </c>
      <c r="B114" t="s">
        <v>5</v>
      </c>
      <c r="C114" t="s">
        <v>105</v>
      </c>
      <c r="D114">
        <v>0</v>
      </c>
      <c r="E114" t="s">
        <v>106</v>
      </c>
    </row>
    <row r="115" spans="1:5" x14ac:dyDescent="0.35">
      <c r="A115" t="s">
        <v>4</v>
      </c>
      <c r="B115" t="s">
        <v>5</v>
      </c>
      <c r="C115" t="s">
        <v>107</v>
      </c>
      <c r="D115">
        <v>0</v>
      </c>
      <c r="E115" t="s">
        <v>108</v>
      </c>
    </row>
    <row r="116" spans="1:5" x14ac:dyDescent="0.35">
      <c r="A116" t="s">
        <v>4</v>
      </c>
      <c r="B116" t="s">
        <v>5</v>
      </c>
      <c r="C116" t="s">
        <v>109</v>
      </c>
      <c r="D116">
        <v>0</v>
      </c>
      <c r="E116" t="s">
        <v>110</v>
      </c>
    </row>
    <row r="117" spans="1:5" x14ac:dyDescent="0.35">
      <c r="A117" t="s">
        <v>4</v>
      </c>
      <c r="B117" t="s">
        <v>5</v>
      </c>
      <c r="C117" t="s">
        <v>111</v>
      </c>
      <c r="D117">
        <v>0</v>
      </c>
      <c r="E117" t="s">
        <v>112</v>
      </c>
    </row>
    <row r="118" spans="1:5" x14ac:dyDescent="0.35">
      <c r="A118" t="s">
        <v>4</v>
      </c>
      <c r="B118" t="s">
        <v>5</v>
      </c>
      <c r="C118" t="s">
        <v>113</v>
      </c>
      <c r="D118">
        <v>0</v>
      </c>
      <c r="E118" t="s">
        <v>114</v>
      </c>
    </row>
    <row r="119" spans="1:5" x14ac:dyDescent="0.35">
      <c r="A119" t="s">
        <v>4</v>
      </c>
      <c r="B119" t="s">
        <v>5</v>
      </c>
      <c r="C119" t="s">
        <v>115</v>
      </c>
      <c r="D119">
        <v>0</v>
      </c>
      <c r="E119" t="s">
        <v>116</v>
      </c>
    </row>
    <row r="120" spans="1:5" x14ac:dyDescent="0.35">
      <c r="A120" t="s">
        <v>4</v>
      </c>
      <c r="B120" t="s">
        <v>5</v>
      </c>
      <c r="C120" t="s">
        <v>117</v>
      </c>
      <c r="D120">
        <v>0</v>
      </c>
      <c r="E120" t="s">
        <v>118</v>
      </c>
    </row>
    <row r="121" spans="1:5" x14ac:dyDescent="0.35">
      <c r="A121" t="s">
        <v>4</v>
      </c>
      <c r="B121" t="s">
        <v>5</v>
      </c>
      <c r="C121" t="s">
        <v>224</v>
      </c>
      <c r="D121">
        <v>0</v>
      </c>
      <c r="E121" t="s">
        <v>225</v>
      </c>
    </row>
    <row r="122" spans="1:5" x14ac:dyDescent="0.35">
      <c r="A122" t="s">
        <v>4</v>
      </c>
      <c r="B122" t="s">
        <v>5</v>
      </c>
      <c r="C122" t="s">
        <v>226</v>
      </c>
      <c r="D122">
        <v>3</v>
      </c>
      <c r="E122" t="s">
        <v>227</v>
      </c>
    </row>
    <row r="123" spans="1:5" x14ac:dyDescent="0.35">
      <c r="A123" t="s">
        <v>4</v>
      </c>
      <c r="B123" t="s">
        <v>5</v>
      </c>
      <c r="C123" t="s">
        <v>228</v>
      </c>
      <c r="D123">
        <v>0</v>
      </c>
      <c r="E123" t="s">
        <v>229</v>
      </c>
    </row>
    <row r="124" spans="1:5" x14ac:dyDescent="0.35">
      <c r="A124" t="s">
        <v>4</v>
      </c>
      <c r="B124" t="s">
        <v>5</v>
      </c>
      <c r="C124" t="s">
        <v>230</v>
      </c>
      <c r="D124">
        <v>0</v>
      </c>
      <c r="E124" t="s">
        <v>231</v>
      </c>
    </row>
    <row r="125" spans="1:5" x14ac:dyDescent="0.35">
      <c r="A125" t="s">
        <v>4</v>
      </c>
      <c r="B125" t="s">
        <v>5</v>
      </c>
      <c r="C125" t="s">
        <v>232</v>
      </c>
      <c r="D125">
        <v>0</v>
      </c>
      <c r="E125" t="s">
        <v>233</v>
      </c>
    </row>
    <row r="126" spans="1:5" x14ac:dyDescent="0.35">
      <c r="A126" t="s">
        <v>4</v>
      </c>
      <c r="B126" t="s">
        <v>5</v>
      </c>
      <c r="C126" t="s">
        <v>234</v>
      </c>
      <c r="D126">
        <v>0</v>
      </c>
      <c r="E126" t="s">
        <v>235</v>
      </c>
    </row>
    <row r="127" spans="1:5" x14ac:dyDescent="0.35">
      <c r="A127" t="s">
        <v>4</v>
      </c>
      <c r="B127" t="s">
        <v>5</v>
      </c>
      <c r="C127" t="s">
        <v>236</v>
      </c>
      <c r="D127">
        <v>10</v>
      </c>
      <c r="E127" t="s">
        <v>237</v>
      </c>
    </row>
    <row r="128" spans="1:5" x14ac:dyDescent="0.35">
      <c r="A128" t="s">
        <v>4</v>
      </c>
      <c r="B128" t="s">
        <v>10</v>
      </c>
      <c r="C128" t="s">
        <v>52</v>
      </c>
      <c r="D128">
        <v>1</v>
      </c>
      <c r="E128" t="s">
        <v>53</v>
      </c>
    </row>
    <row r="129" spans="1:5" x14ac:dyDescent="0.35">
      <c r="A129" t="s">
        <v>4</v>
      </c>
      <c r="B129" t="s">
        <v>5</v>
      </c>
      <c r="C129" t="s">
        <v>54</v>
      </c>
      <c r="D129">
        <v>1</v>
      </c>
      <c r="E129" t="s">
        <v>55</v>
      </c>
    </row>
    <row r="130" spans="1:5" x14ac:dyDescent="0.35">
      <c r="A130" t="s">
        <v>4</v>
      </c>
      <c r="B130" t="s">
        <v>5</v>
      </c>
      <c r="C130" t="s">
        <v>56</v>
      </c>
      <c r="D130">
        <v>0</v>
      </c>
      <c r="E130" t="s">
        <v>57</v>
      </c>
    </row>
    <row r="131" spans="1:5" x14ac:dyDescent="0.35">
      <c r="A131" t="s">
        <v>4</v>
      </c>
      <c r="B131" t="s">
        <v>10</v>
      </c>
      <c r="C131" t="s">
        <v>238</v>
      </c>
      <c r="D131">
        <v>19</v>
      </c>
      <c r="E131" t="s">
        <v>239</v>
      </c>
    </row>
    <row r="132" spans="1:5" x14ac:dyDescent="0.35">
      <c r="A132" t="s">
        <v>4</v>
      </c>
      <c r="B132" t="s">
        <v>5</v>
      </c>
      <c r="C132" t="s">
        <v>240</v>
      </c>
      <c r="D132">
        <v>0</v>
      </c>
      <c r="E132" t="s">
        <v>241</v>
      </c>
    </row>
    <row r="133" spans="1:5" x14ac:dyDescent="0.35">
      <c r="A133" t="s">
        <v>4</v>
      </c>
      <c r="B133" t="s">
        <v>10</v>
      </c>
      <c r="C133" t="s">
        <v>121</v>
      </c>
      <c r="D133">
        <v>0</v>
      </c>
      <c r="E133" t="s">
        <v>122</v>
      </c>
    </row>
    <row r="134" spans="1:5" x14ac:dyDescent="0.35">
      <c r="A134" t="s">
        <v>4</v>
      </c>
      <c r="B134" t="s">
        <v>21</v>
      </c>
      <c r="C134" t="s">
        <v>123</v>
      </c>
      <c r="D134">
        <v>2</v>
      </c>
      <c r="E134" t="s">
        <v>124</v>
      </c>
    </row>
    <row r="135" spans="1:5" x14ac:dyDescent="0.35">
      <c r="A135" t="s">
        <v>4</v>
      </c>
      <c r="B135" t="s">
        <v>5</v>
      </c>
      <c r="C135" t="s">
        <v>242</v>
      </c>
      <c r="D135">
        <v>2</v>
      </c>
      <c r="E135" t="s">
        <v>243</v>
      </c>
    </row>
    <row r="136" spans="1:5" x14ac:dyDescent="0.35">
      <c r="A136" t="s">
        <v>4</v>
      </c>
      <c r="B136" t="s">
        <v>21</v>
      </c>
      <c r="C136" t="s">
        <v>244</v>
      </c>
      <c r="D136">
        <v>0</v>
      </c>
      <c r="E136" t="s">
        <v>245</v>
      </c>
    </row>
    <row r="137" spans="1:5" x14ac:dyDescent="0.35">
      <c r="A137" t="s">
        <v>4</v>
      </c>
      <c r="B137" t="s">
        <v>5</v>
      </c>
      <c r="C137" t="s">
        <v>246</v>
      </c>
      <c r="D137">
        <v>0</v>
      </c>
      <c r="E137" t="s">
        <v>247</v>
      </c>
    </row>
    <row r="138" spans="1:5" x14ac:dyDescent="0.35">
      <c r="A138" t="s">
        <v>4</v>
      </c>
      <c r="B138" t="s">
        <v>5</v>
      </c>
      <c r="C138" t="s">
        <v>248</v>
      </c>
      <c r="D138">
        <v>0</v>
      </c>
      <c r="E138" t="s">
        <v>249</v>
      </c>
    </row>
    <row r="139" spans="1:5" x14ac:dyDescent="0.35">
      <c r="A139" t="s">
        <v>4</v>
      </c>
      <c r="B139" t="s">
        <v>5</v>
      </c>
      <c r="C139" t="s">
        <v>250</v>
      </c>
      <c r="D139">
        <v>0</v>
      </c>
      <c r="E139" t="s">
        <v>251</v>
      </c>
    </row>
    <row r="140" spans="1:5" x14ac:dyDescent="0.35">
      <c r="A140" t="s">
        <v>4</v>
      </c>
      <c r="B140" t="s">
        <v>5</v>
      </c>
      <c r="C140" t="s">
        <v>252</v>
      </c>
      <c r="D140">
        <v>0</v>
      </c>
      <c r="E140" t="s">
        <v>253</v>
      </c>
    </row>
    <row r="141" spans="1:5" x14ac:dyDescent="0.35">
      <c r="A141" t="s">
        <v>4</v>
      </c>
      <c r="B141" t="s">
        <v>5</v>
      </c>
      <c r="C141" t="s">
        <v>254</v>
      </c>
      <c r="D141">
        <v>0</v>
      </c>
      <c r="E141" t="s">
        <v>255</v>
      </c>
    </row>
    <row r="142" spans="1:5" x14ac:dyDescent="0.35">
      <c r="A142" t="s">
        <v>4</v>
      </c>
      <c r="B142" t="s">
        <v>5</v>
      </c>
      <c r="C142" t="s">
        <v>256</v>
      </c>
      <c r="D142">
        <v>0</v>
      </c>
      <c r="E142" t="s">
        <v>257</v>
      </c>
    </row>
    <row r="143" spans="1:5" x14ac:dyDescent="0.35">
      <c r="A143" t="s">
        <v>4</v>
      </c>
      <c r="B143" t="s">
        <v>5</v>
      </c>
      <c r="C143" t="s">
        <v>258</v>
      </c>
      <c r="D143">
        <v>0</v>
      </c>
      <c r="E143" t="s">
        <v>259</v>
      </c>
    </row>
    <row r="144" spans="1:5" x14ac:dyDescent="0.35">
      <c r="A144" t="s">
        <v>4</v>
      </c>
      <c r="B144" t="s">
        <v>5</v>
      </c>
      <c r="C144" t="s">
        <v>260</v>
      </c>
      <c r="D144">
        <v>0</v>
      </c>
      <c r="E144" t="s">
        <v>261</v>
      </c>
    </row>
    <row r="145" spans="1:5" x14ac:dyDescent="0.35">
      <c r="A145" t="s">
        <v>4</v>
      </c>
      <c r="B145" t="s">
        <v>5</v>
      </c>
      <c r="C145" t="s">
        <v>262</v>
      </c>
      <c r="D145">
        <v>1</v>
      </c>
      <c r="E145" t="s">
        <v>263</v>
      </c>
    </row>
    <row r="146" spans="1:5" x14ac:dyDescent="0.35">
      <c r="A146" t="s">
        <v>4</v>
      </c>
      <c r="B146" t="s">
        <v>5</v>
      </c>
      <c r="C146" t="s">
        <v>264</v>
      </c>
      <c r="D146">
        <v>6</v>
      </c>
      <c r="E146" t="s">
        <v>265</v>
      </c>
    </row>
    <row r="147" spans="1:5" x14ac:dyDescent="0.35">
      <c r="A147" t="s">
        <v>4</v>
      </c>
      <c r="B147" t="s">
        <v>5</v>
      </c>
      <c r="C147" t="s">
        <v>266</v>
      </c>
      <c r="D147">
        <v>0</v>
      </c>
      <c r="E147" t="s">
        <v>267</v>
      </c>
    </row>
    <row r="148" spans="1:5" x14ac:dyDescent="0.35">
      <c r="A148" t="s">
        <v>4</v>
      </c>
      <c r="B148" t="s">
        <v>10</v>
      </c>
      <c r="C148" t="s">
        <v>268</v>
      </c>
      <c r="D148">
        <v>11</v>
      </c>
      <c r="E148" t="s">
        <v>269</v>
      </c>
    </row>
    <row r="149" spans="1:5" x14ac:dyDescent="0.35">
      <c r="A149" t="s">
        <v>4</v>
      </c>
      <c r="B149" t="s">
        <v>5</v>
      </c>
      <c r="C149" t="s">
        <v>270</v>
      </c>
      <c r="D149">
        <v>1</v>
      </c>
      <c r="E149" t="s">
        <v>271</v>
      </c>
    </row>
    <row r="150" spans="1:5" x14ac:dyDescent="0.35">
      <c r="A150" t="s">
        <v>272</v>
      </c>
      <c r="B150" t="s">
        <v>5</v>
      </c>
      <c r="C150" t="s">
        <v>273</v>
      </c>
      <c r="D150">
        <v>1</v>
      </c>
      <c r="E150" t="s">
        <v>274</v>
      </c>
    </row>
    <row r="151" spans="1:5" x14ac:dyDescent="0.35">
      <c r="A151" t="s">
        <v>272</v>
      </c>
      <c r="B151" t="s">
        <v>5</v>
      </c>
      <c r="C151" t="s">
        <v>275</v>
      </c>
      <c r="D151">
        <v>1</v>
      </c>
      <c r="E151" t="s">
        <v>276</v>
      </c>
    </row>
    <row r="152" spans="1:5" x14ac:dyDescent="0.35">
      <c r="A152" t="s">
        <v>272</v>
      </c>
      <c r="B152" t="s">
        <v>10</v>
      </c>
      <c r="C152" t="s">
        <v>277</v>
      </c>
      <c r="D152">
        <v>0</v>
      </c>
      <c r="E152" t="s">
        <v>278</v>
      </c>
    </row>
    <row r="153" spans="1:5" x14ac:dyDescent="0.35">
      <c r="A153" t="s">
        <v>272</v>
      </c>
      <c r="B153" t="s">
        <v>5</v>
      </c>
      <c r="C153" t="s">
        <v>279</v>
      </c>
      <c r="D153">
        <v>1</v>
      </c>
      <c r="E153" t="s">
        <v>280</v>
      </c>
    </row>
    <row r="154" spans="1:5" x14ac:dyDescent="0.35">
      <c r="A154" t="s">
        <v>272</v>
      </c>
      <c r="B154" t="s">
        <v>5</v>
      </c>
      <c r="C154" t="s">
        <v>281</v>
      </c>
      <c r="D154">
        <v>0</v>
      </c>
      <c r="E154" t="s">
        <v>282</v>
      </c>
    </row>
    <row r="155" spans="1:5" x14ac:dyDescent="0.35">
      <c r="A155" t="s">
        <v>272</v>
      </c>
      <c r="B155" t="s">
        <v>21</v>
      </c>
      <c r="C155" t="s">
        <v>283</v>
      </c>
      <c r="D155">
        <v>4</v>
      </c>
      <c r="E155" t="s">
        <v>284</v>
      </c>
    </row>
    <row r="156" spans="1:5" x14ac:dyDescent="0.35">
      <c r="A156" t="s">
        <v>272</v>
      </c>
      <c r="B156" t="s">
        <v>10</v>
      </c>
      <c r="C156" t="s">
        <v>285</v>
      </c>
      <c r="D156">
        <v>2</v>
      </c>
      <c r="E156" t="s">
        <v>286</v>
      </c>
    </row>
    <row r="157" spans="1:5" x14ac:dyDescent="0.35">
      <c r="A157" t="s">
        <v>272</v>
      </c>
      <c r="B157" t="s">
        <v>10</v>
      </c>
      <c r="C157" t="s">
        <v>287</v>
      </c>
      <c r="D157">
        <v>28</v>
      </c>
      <c r="E157" t="s">
        <v>288</v>
      </c>
    </row>
    <row r="158" spans="1:5" x14ac:dyDescent="0.35">
      <c r="A158" t="s">
        <v>272</v>
      </c>
      <c r="B158" t="s">
        <v>5</v>
      </c>
      <c r="C158" t="s">
        <v>289</v>
      </c>
      <c r="D158">
        <v>2</v>
      </c>
      <c r="E158" t="s">
        <v>290</v>
      </c>
    </row>
    <row r="159" spans="1:5" x14ac:dyDescent="0.35">
      <c r="A159" t="s">
        <v>272</v>
      </c>
      <c r="B159" t="s">
        <v>5</v>
      </c>
      <c r="C159" t="s">
        <v>291</v>
      </c>
      <c r="D159">
        <v>0</v>
      </c>
      <c r="E159" t="s">
        <v>292</v>
      </c>
    </row>
    <row r="160" spans="1:5" x14ac:dyDescent="0.35">
      <c r="A160" t="s">
        <v>272</v>
      </c>
      <c r="B160" t="s">
        <v>5</v>
      </c>
      <c r="C160" t="s">
        <v>293</v>
      </c>
      <c r="D160">
        <v>0</v>
      </c>
      <c r="E160" t="s">
        <v>294</v>
      </c>
    </row>
    <row r="161" spans="1:5" x14ac:dyDescent="0.35">
      <c r="A161" t="s">
        <v>272</v>
      </c>
      <c r="B161" t="s">
        <v>5</v>
      </c>
      <c r="C161" t="s">
        <v>295</v>
      </c>
      <c r="D161">
        <v>1</v>
      </c>
      <c r="E161" t="s">
        <v>296</v>
      </c>
    </row>
    <row r="162" spans="1:5" x14ac:dyDescent="0.35">
      <c r="A162" t="s">
        <v>272</v>
      </c>
      <c r="B162" t="s">
        <v>125</v>
      </c>
      <c r="C162" t="s">
        <v>297</v>
      </c>
      <c r="D162">
        <v>1</v>
      </c>
      <c r="E162" t="s">
        <v>298</v>
      </c>
    </row>
    <row r="163" spans="1:5" x14ac:dyDescent="0.35">
      <c r="A163" t="s">
        <v>272</v>
      </c>
      <c r="B163" t="s">
        <v>21</v>
      </c>
      <c r="C163" t="s">
        <v>299</v>
      </c>
      <c r="D163">
        <v>0</v>
      </c>
      <c r="E163" t="s">
        <v>300</v>
      </c>
    </row>
    <row r="164" spans="1:5" x14ac:dyDescent="0.35">
      <c r="A164" t="s">
        <v>272</v>
      </c>
      <c r="B164" t="s">
        <v>10</v>
      </c>
      <c r="C164" t="s">
        <v>301</v>
      </c>
      <c r="D164">
        <v>1</v>
      </c>
      <c r="E164" t="s">
        <v>302</v>
      </c>
    </row>
    <row r="165" spans="1:5" x14ac:dyDescent="0.35">
      <c r="A165" t="s">
        <v>272</v>
      </c>
      <c r="B165" t="s">
        <v>5</v>
      </c>
      <c r="C165" t="s">
        <v>303</v>
      </c>
      <c r="D165">
        <v>0</v>
      </c>
      <c r="E165" t="s">
        <v>304</v>
      </c>
    </row>
    <row r="166" spans="1:5" x14ac:dyDescent="0.35">
      <c r="A166" t="s">
        <v>272</v>
      </c>
      <c r="B166" t="s">
        <v>5</v>
      </c>
      <c r="C166" t="s">
        <v>305</v>
      </c>
      <c r="D166">
        <v>0</v>
      </c>
      <c r="E166" t="s">
        <v>306</v>
      </c>
    </row>
    <row r="167" spans="1:5" x14ac:dyDescent="0.35">
      <c r="A167" t="s">
        <v>272</v>
      </c>
      <c r="B167" t="s">
        <v>5</v>
      </c>
      <c r="C167" t="s">
        <v>307</v>
      </c>
      <c r="D167">
        <v>0</v>
      </c>
      <c r="E167" t="s">
        <v>308</v>
      </c>
    </row>
    <row r="168" spans="1:5" x14ac:dyDescent="0.35">
      <c r="A168" t="s">
        <v>272</v>
      </c>
      <c r="B168" t="s">
        <v>5</v>
      </c>
      <c r="C168" t="s">
        <v>309</v>
      </c>
      <c r="D168">
        <v>0</v>
      </c>
      <c r="E168" t="s">
        <v>310</v>
      </c>
    </row>
    <row r="169" spans="1:5" x14ac:dyDescent="0.35">
      <c r="A169" t="s">
        <v>272</v>
      </c>
      <c r="B169" t="s">
        <v>5</v>
      </c>
      <c r="C169" t="s">
        <v>311</v>
      </c>
      <c r="D169">
        <v>0</v>
      </c>
      <c r="E169" t="s">
        <v>312</v>
      </c>
    </row>
    <row r="170" spans="1:5" x14ac:dyDescent="0.35">
      <c r="A170" t="s">
        <v>272</v>
      </c>
      <c r="B170" t="s">
        <v>5</v>
      </c>
      <c r="C170" t="s">
        <v>313</v>
      </c>
      <c r="D170">
        <v>0</v>
      </c>
      <c r="E170" t="s">
        <v>314</v>
      </c>
    </row>
    <row r="171" spans="1:5" x14ac:dyDescent="0.35">
      <c r="A171" t="s">
        <v>272</v>
      </c>
      <c r="B171" t="s">
        <v>10</v>
      </c>
      <c r="C171" t="s">
        <v>315</v>
      </c>
      <c r="D171">
        <v>0</v>
      </c>
      <c r="E171" t="s">
        <v>316</v>
      </c>
    </row>
    <row r="172" spans="1:5" x14ac:dyDescent="0.35">
      <c r="A172" t="s">
        <v>272</v>
      </c>
      <c r="B172" t="s">
        <v>10</v>
      </c>
      <c r="C172" t="s">
        <v>317</v>
      </c>
      <c r="D172">
        <v>0</v>
      </c>
      <c r="E172" t="s">
        <v>318</v>
      </c>
    </row>
    <row r="173" spans="1:5" x14ac:dyDescent="0.35">
      <c r="A173" t="s">
        <v>272</v>
      </c>
      <c r="B173" t="s">
        <v>5</v>
      </c>
      <c r="C173" t="s">
        <v>319</v>
      </c>
      <c r="D173">
        <v>2</v>
      </c>
      <c r="E173" t="s">
        <v>320</v>
      </c>
    </row>
    <row r="174" spans="1:5" x14ac:dyDescent="0.35">
      <c r="A174" t="s">
        <v>272</v>
      </c>
      <c r="B174" t="s">
        <v>5</v>
      </c>
      <c r="C174" t="s">
        <v>321</v>
      </c>
      <c r="D174">
        <v>0</v>
      </c>
      <c r="E174" t="s">
        <v>322</v>
      </c>
    </row>
    <row r="175" spans="1:5" x14ac:dyDescent="0.35">
      <c r="A175" t="s">
        <v>272</v>
      </c>
      <c r="B175" t="s">
        <v>5</v>
      </c>
      <c r="C175" t="s">
        <v>323</v>
      </c>
      <c r="D175">
        <v>0</v>
      </c>
      <c r="E175" t="s">
        <v>324</v>
      </c>
    </row>
    <row r="176" spans="1:5" x14ac:dyDescent="0.35">
      <c r="A176" t="s">
        <v>272</v>
      </c>
      <c r="B176" t="s">
        <v>21</v>
      </c>
      <c r="C176" t="s">
        <v>325</v>
      </c>
      <c r="D176">
        <v>3</v>
      </c>
      <c r="E176" t="s">
        <v>326</v>
      </c>
    </row>
    <row r="177" spans="1:5" x14ac:dyDescent="0.35">
      <c r="A177" t="s">
        <v>272</v>
      </c>
      <c r="B177" t="s">
        <v>5</v>
      </c>
      <c r="C177" t="s">
        <v>327</v>
      </c>
      <c r="D177">
        <v>9</v>
      </c>
      <c r="E177" t="s">
        <v>328</v>
      </c>
    </row>
    <row r="178" spans="1:5" x14ac:dyDescent="0.35">
      <c r="A178" t="s">
        <v>272</v>
      </c>
      <c r="B178" t="s">
        <v>21</v>
      </c>
      <c r="C178" t="s">
        <v>329</v>
      </c>
      <c r="D178">
        <v>8</v>
      </c>
      <c r="E178" t="s">
        <v>330</v>
      </c>
    </row>
    <row r="179" spans="1:5" x14ac:dyDescent="0.35">
      <c r="A179" t="s">
        <v>272</v>
      </c>
      <c r="B179" t="s">
        <v>5</v>
      </c>
      <c r="C179" t="s">
        <v>331</v>
      </c>
      <c r="D179">
        <v>0</v>
      </c>
      <c r="E179" t="s">
        <v>332</v>
      </c>
    </row>
    <row r="180" spans="1:5" x14ac:dyDescent="0.35">
      <c r="A180" t="s">
        <v>272</v>
      </c>
      <c r="B180" t="s">
        <v>5</v>
      </c>
      <c r="C180" t="s">
        <v>333</v>
      </c>
      <c r="D180">
        <v>0</v>
      </c>
      <c r="E180" t="s">
        <v>334</v>
      </c>
    </row>
    <row r="181" spans="1:5" x14ac:dyDescent="0.35">
      <c r="A181" t="s">
        <v>272</v>
      </c>
      <c r="B181" t="s">
        <v>5</v>
      </c>
      <c r="C181" t="s">
        <v>335</v>
      </c>
      <c r="D181">
        <v>0</v>
      </c>
      <c r="E181" t="s">
        <v>336</v>
      </c>
    </row>
    <row r="182" spans="1:5" x14ac:dyDescent="0.35">
      <c r="A182" t="s">
        <v>272</v>
      </c>
      <c r="B182" t="s">
        <v>5</v>
      </c>
      <c r="C182" t="s">
        <v>337</v>
      </c>
      <c r="D182">
        <v>11</v>
      </c>
      <c r="E182" t="s">
        <v>338</v>
      </c>
    </row>
    <row r="183" spans="1:5" x14ac:dyDescent="0.35">
      <c r="A183" t="s">
        <v>272</v>
      </c>
      <c r="B183" t="s">
        <v>5</v>
      </c>
      <c r="C183" t="s">
        <v>339</v>
      </c>
      <c r="D183">
        <v>0</v>
      </c>
      <c r="E183" t="s">
        <v>340</v>
      </c>
    </row>
    <row r="184" spans="1:5" x14ac:dyDescent="0.35">
      <c r="A184" t="s">
        <v>272</v>
      </c>
      <c r="B184" t="s">
        <v>5</v>
      </c>
      <c r="C184" t="s">
        <v>341</v>
      </c>
      <c r="D184">
        <v>14</v>
      </c>
      <c r="E184" t="s">
        <v>342</v>
      </c>
    </row>
    <row r="185" spans="1:5" x14ac:dyDescent="0.35">
      <c r="A185" t="s">
        <v>272</v>
      </c>
      <c r="B185" t="s">
        <v>5</v>
      </c>
      <c r="C185" t="s">
        <v>343</v>
      </c>
      <c r="D185">
        <v>0</v>
      </c>
      <c r="E185" t="s">
        <v>344</v>
      </c>
    </row>
    <row r="186" spans="1:5" x14ac:dyDescent="0.35">
      <c r="A186" t="s">
        <v>272</v>
      </c>
      <c r="B186" t="s">
        <v>5</v>
      </c>
      <c r="C186" t="s">
        <v>345</v>
      </c>
      <c r="D186">
        <v>7</v>
      </c>
      <c r="E186" t="s">
        <v>346</v>
      </c>
    </row>
    <row r="187" spans="1:5" x14ac:dyDescent="0.35">
      <c r="A187" t="s">
        <v>272</v>
      </c>
      <c r="B187" t="s">
        <v>5</v>
      </c>
      <c r="C187" t="s">
        <v>347</v>
      </c>
      <c r="D187">
        <v>18</v>
      </c>
      <c r="E187" t="s">
        <v>348</v>
      </c>
    </row>
    <row r="188" spans="1:5" x14ac:dyDescent="0.35">
      <c r="A188" t="s">
        <v>272</v>
      </c>
      <c r="B188" t="s">
        <v>5</v>
      </c>
      <c r="C188" t="s">
        <v>349</v>
      </c>
      <c r="D188">
        <v>0</v>
      </c>
      <c r="E188" t="s">
        <v>350</v>
      </c>
    </row>
    <row r="189" spans="1:5" x14ac:dyDescent="0.35">
      <c r="A189" t="s">
        <v>272</v>
      </c>
      <c r="B189" t="s">
        <v>10</v>
      </c>
      <c r="C189" t="s">
        <v>351</v>
      </c>
      <c r="D189">
        <v>13</v>
      </c>
      <c r="E189" t="s">
        <v>352</v>
      </c>
    </row>
    <row r="190" spans="1:5" x14ac:dyDescent="0.35">
      <c r="A190" t="s">
        <v>272</v>
      </c>
      <c r="B190" t="s">
        <v>5</v>
      </c>
      <c r="C190" t="s">
        <v>353</v>
      </c>
      <c r="D190">
        <v>0</v>
      </c>
      <c r="E190" t="s">
        <v>354</v>
      </c>
    </row>
    <row r="191" spans="1:5" x14ac:dyDescent="0.35">
      <c r="A191" t="s">
        <v>272</v>
      </c>
      <c r="B191" t="s">
        <v>125</v>
      </c>
      <c r="C191" t="s">
        <v>355</v>
      </c>
      <c r="D191">
        <v>0</v>
      </c>
      <c r="E191" t="s">
        <v>356</v>
      </c>
    </row>
    <row r="192" spans="1:5" x14ac:dyDescent="0.35">
      <c r="A192" t="s">
        <v>272</v>
      </c>
      <c r="B192" t="s">
        <v>5</v>
      </c>
      <c r="C192" t="s">
        <v>357</v>
      </c>
      <c r="D192">
        <v>0</v>
      </c>
      <c r="E192" t="s">
        <v>358</v>
      </c>
    </row>
    <row r="193" spans="1:5" x14ac:dyDescent="0.35">
      <c r="A193" t="s">
        <v>272</v>
      </c>
      <c r="B193" t="s">
        <v>5</v>
      </c>
      <c r="C193" t="s">
        <v>359</v>
      </c>
      <c r="D193">
        <v>0</v>
      </c>
      <c r="E193" t="s">
        <v>360</v>
      </c>
    </row>
    <row r="194" spans="1:5" x14ac:dyDescent="0.35">
      <c r="A194" t="s">
        <v>272</v>
      </c>
      <c r="B194" t="s">
        <v>10</v>
      </c>
      <c r="C194" t="s">
        <v>361</v>
      </c>
      <c r="D194">
        <v>1</v>
      </c>
      <c r="E194" t="s">
        <v>362</v>
      </c>
    </row>
    <row r="195" spans="1:5" x14ac:dyDescent="0.35">
      <c r="A195" t="s">
        <v>272</v>
      </c>
      <c r="B195" t="s">
        <v>5</v>
      </c>
      <c r="C195" t="s">
        <v>363</v>
      </c>
      <c r="D195">
        <v>1</v>
      </c>
      <c r="E195" t="s">
        <v>364</v>
      </c>
    </row>
    <row r="196" spans="1:5" x14ac:dyDescent="0.35">
      <c r="A196" t="s">
        <v>272</v>
      </c>
      <c r="B196" t="s">
        <v>5</v>
      </c>
      <c r="C196" t="s">
        <v>365</v>
      </c>
      <c r="D196">
        <v>3</v>
      </c>
      <c r="E196" t="s">
        <v>366</v>
      </c>
    </row>
    <row r="197" spans="1:5" x14ac:dyDescent="0.35">
      <c r="A197" t="s">
        <v>272</v>
      </c>
      <c r="B197" t="s">
        <v>10</v>
      </c>
      <c r="C197" t="s">
        <v>367</v>
      </c>
      <c r="D197">
        <v>1</v>
      </c>
      <c r="E197" t="s">
        <v>368</v>
      </c>
    </row>
    <row r="198" spans="1:5" x14ac:dyDescent="0.35">
      <c r="A198" t="s">
        <v>272</v>
      </c>
      <c r="B198" t="s">
        <v>125</v>
      </c>
      <c r="C198" t="s">
        <v>369</v>
      </c>
      <c r="D198">
        <v>1</v>
      </c>
      <c r="E198" t="s">
        <v>370</v>
      </c>
    </row>
    <row r="199" spans="1:5" x14ac:dyDescent="0.35">
      <c r="A199" t="s">
        <v>272</v>
      </c>
      <c r="B199" t="s">
        <v>5</v>
      </c>
      <c r="C199" t="s">
        <v>371</v>
      </c>
      <c r="D199">
        <v>1</v>
      </c>
      <c r="E199" t="s">
        <v>372</v>
      </c>
    </row>
    <row r="200" spans="1:5" x14ac:dyDescent="0.35">
      <c r="A200" t="s">
        <v>272</v>
      </c>
      <c r="B200" t="s">
        <v>5</v>
      </c>
      <c r="C200" t="s">
        <v>373</v>
      </c>
      <c r="D200">
        <v>0</v>
      </c>
      <c r="E200" t="s">
        <v>374</v>
      </c>
    </row>
    <row r="201" spans="1:5" x14ac:dyDescent="0.35">
      <c r="A201" t="s">
        <v>272</v>
      </c>
      <c r="B201" t="s">
        <v>5</v>
      </c>
      <c r="C201" t="s">
        <v>375</v>
      </c>
      <c r="D201">
        <v>0</v>
      </c>
      <c r="E201" t="s">
        <v>376</v>
      </c>
    </row>
    <row r="202" spans="1:5" x14ac:dyDescent="0.35">
      <c r="A202" t="s">
        <v>272</v>
      </c>
      <c r="B202" t="s">
        <v>5</v>
      </c>
      <c r="C202" t="s">
        <v>377</v>
      </c>
      <c r="D202">
        <v>0</v>
      </c>
      <c r="E202" t="s">
        <v>378</v>
      </c>
    </row>
    <row r="203" spans="1:5" x14ac:dyDescent="0.35">
      <c r="A203" t="s">
        <v>272</v>
      </c>
      <c r="B203" t="s">
        <v>5</v>
      </c>
      <c r="C203" t="s">
        <v>379</v>
      </c>
      <c r="D203">
        <v>2</v>
      </c>
      <c r="E203" t="s">
        <v>380</v>
      </c>
    </row>
    <row r="204" spans="1:5" x14ac:dyDescent="0.35">
      <c r="A204" t="s">
        <v>4</v>
      </c>
      <c r="B204" t="s">
        <v>5</v>
      </c>
      <c r="C204" t="s">
        <v>381</v>
      </c>
      <c r="D204">
        <v>0</v>
      </c>
      <c r="E204" t="s">
        <v>382</v>
      </c>
    </row>
    <row r="205" spans="1:5" x14ac:dyDescent="0.35">
      <c r="A205" t="s">
        <v>272</v>
      </c>
      <c r="B205" t="s">
        <v>5</v>
      </c>
      <c r="C205" t="s">
        <v>383</v>
      </c>
      <c r="D205">
        <v>1</v>
      </c>
      <c r="E205" t="s">
        <v>384</v>
      </c>
    </row>
    <row r="206" spans="1:5" x14ac:dyDescent="0.35">
      <c r="A206" t="s">
        <v>272</v>
      </c>
      <c r="B206" t="s">
        <v>21</v>
      </c>
      <c r="C206" t="s">
        <v>385</v>
      </c>
      <c r="D206">
        <v>2</v>
      </c>
      <c r="E206" t="s">
        <v>386</v>
      </c>
    </row>
    <row r="207" spans="1:5" x14ac:dyDescent="0.35">
      <c r="A207" t="s">
        <v>272</v>
      </c>
      <c r="B207" t="s">
        <v>5</v>
      </c>
      <c r="C207" t="s">
        <v>387</v>
      </c>
      <c r="D207">
        <v>2</v>
      </c>
      <c r="E207" t="s">
        <v>388</v>
      </c>
    </row>
    <row r="208" spans="1:5" x14ac:dyDescent="0.35">
      <c r="A208" t="s">
        <v>272</v>
      </c>
      <c r="B208" t="s">
        <v>5</v>
      </c>
      <c r="C208" t="s">
        <v>389</v>
      </c>
      <c r="D208">
        <v>0</v>
      </c>
      <c r="E208" t="s">
        <v>390</v>
      </c>
    </row>
    <row r="209" spans="1:5" x14ac:dyDescent="0.35">
      <c r="A209" t="s">
        <v>272</v>
      </c>
      <c r="B209" t="s">
        <v>5</v>
      </c>
      <c r="C209" t="s">
        <v>391</v>
      </c>
      <c r="D209">
        <v>9</v>
      </c>
      <c r="E209" t="s">
        <v>392</v>
      </c>
    </row>
    <row r="210" spans="1:5" x14ac:dyDescent="0.35">
      <c r="A210" t="s">
        <v>272</v>
      </c>
      <c r="B210" t="s">
        <v>10</v>
      </c>
      <c r="C210" t="s">
        <v>393</v>
      </c>
      <c r="D210">
        <v>0</v>
      </c>
      <c r="E210" t="s">
        <v>394</v>
      </c>
    </row>
    <row r="211" spans="1:5" x14ac:dyDescent="0.35">
      <c r="A211" t="s">
        <v>272</v>
      </c>
      <c r="B211" t="s">
        <v>5</v>
      </c>
      <c r="C211" t="s">
        <v>395</v>
      </c>
      <c r="D211">
        <v>0</v>
      </c>
      <c r="E211" t="s">
        <v>396</v>
      </c>
    </row>
    <row r="212" spans="1:5" x14ac:dyDescent="0.35">
      <c r="A212" t="s">
        <v>272</v>
      </c>
      <c r="B212" t="s">
        <v>5</v>
      </c>
      <c r="C212" t="s">
        <v>397</v>
      </c>
      <c r="D212">
        <v>2</v>
      </c>
      <c r="E212" t="s">
        <v>398</v>
      </c>
    </row>
    <row r="213" spans="1:5" x14ac:dyDescent="0.35">
      <c r="A213" t="s">
        <v>272</v>
      </c>
      <c r="B213" t="s">
        <v>21</v>
      </c>
      <c r="C213" t="s">
        <v>399</v>
      </c>
      <c r="D213">
        <v>0</v>
      </c>
      <c r="E213" t="s">
        <v>400</v>
      </c>
    </row>
    <row r="214" spans="1:5" x14ac:dyDescent="0.35">
      <c r="A214" t="s">
        <v>272</v>
      </c>
      <c r="B214" t="s">
        <v>5</v>
      </c>
      <c r="C214" t="s">
        <v>401</v>
      </c>
      <c r="D214">
        <v>1</v>
      </c>
      <c r="E214" t="s">
        <v>402</v>
      </c>
    </row>
    <row r="215" spans="1:5" x14ac:dyDescent="0.35">
      <c r="A215" t="s">
        <v>272</v>
      </c>
      <c r="B215" t="s">
        <v>5</v>
      </c>
      <c r="C215" t="s">
        <v>403</v>
      </c>
      <c r="D215">
        <v>1</v>
      </c>
      <c r="E215" t="s">
        <v>404</v>
      </c>
    </row>
    <row r="216" spans="1:5" x14ac:dyDescent="0.35">
      <c r="A216" t="s">
        <v>272</v>
      </c>
      <c r="B216" t="s">
        <v>5</v>
      </c>
      <c r="C216" t="s">
        <v>405</v>
      </c>
      <c r="D216">
        <v>0</v>
      </c>
      <c r="E216" t="s">
        <v>406</v>
      </c>
    </row>
    <row r="217" spans="1:5" x14ac:dyDescent="0.35">
      <c r="A217" t="s">
        <v>272</v>
      </c>
      <c r="B217" t="s">
        <v>5</v>
      </c>
      <c r="C217" t="s">
        <v>407</v>
      </c>
      <c r="D217">
        <v>0</v>
      </c>
      <c r="E217" t="s">
        <v>408</v>
      </c>
    </row>
    <row r="218" spans="1:5" x14ac:dyDescent="0.35">
      <c r="A218" t="s">
        <v>272</v>
      </c>
      <c r="B218" t="s">
        <v>10</v>
      </c>
      <c r="C218" t="s">
        <v>409</v>
      </c>
      <c r="D218">
        <v>0</v>
      </c>
      <c r="E218" t="s">
        <v>410</v>
      </c>
    </row>
    <row r="219" spans="1:5" x14ac:dyDescent="0.35">
      <c r="A219" t="s">
        <v>272</v>
      </c>
      <c r="B219" t="s">
        <v>10</v>
      </c>
      <c r="C219" t="s">
        <v>411</v>
      </c>
      <c r="D219">
        <v>0</v>
      </c>
      <c r="E219" t="s">
        <v>412</v>
      </c>
    </row>
    <row r="220" spans="1:5" x14ac:dyDescent="0.35">
      <c r="A220" t="s">
        <v>272</v>
      </c>
      <c r="B220" t="s">
        <v>5</v>
      </c>
      <c r="C220" t="s">
        <v>413</v>
      </c>
      <c r="D220">
        <v>0</v>
      </c>
      <c r="E220" t="s">
        <v>414</v>
      </c>
    </row>
    <row r="221" spans="1:5" x14ac:dyDescent="0.35">
      <c r="A221" t="s">
        <v>272</v>
      </c>
      <c r="B221" t="s">
        <v>5</v>
      </c>
      <c r="C221" t="s">
        <v>415</v>
      </c>
      <c r="D221">
        <v>0</v>
      </c>
      <c r="E221" t="s">
        <v>416</v>
      </c>
    </row>
    <row r="222" spans="1:5" x14ac:dyDescent="0.35">
      <c r="A222" t="s">
        <v>272</v>
      </c>
      <c r="B222" t="s">
        <v>5</v>
      </c>
      <c r="C222" t="s">
        <v>417</v>
      </c>
      <c r="D222">
        <v>2</v>
      </c>
      <c r="E222" t="s">
        <v>418</v>
      </c>
    </row>
    <row r="223" spans="1:5" x14ac:dyDescent="0.35">
      <c r="A223" t="s">
        <v>272</v>
      </c>
      <c r="B223" t="s">
        <v>5</v>
      </c>
      <c r="C223" t="s">
        <v>419</v>
      </c>
      <c r="D223">
        <v>0</v>
      </c>
      <c r="E223" t="s">
        <v>420</v>
      </c>
    </row>
    <row r="224" spans="1:5" x14ac:dyDescent="0.35">
      <c r="A224" t="s">
        <v>272</v>
      </c>
      <c r="B224" t="s">
        <v>5</v>
      </c>
      <c r="C224" t="s">
        <v>421</v>
      </c>
      <c r="D224">
        <v>0</v>
      </c>
      <c r="E224" t="s">
        <v>422</v>
      </c>
    </row>
    <row r="225" spans="1:5" x14ac:dyDescent="0.35">
      <c r="A225" t="s">
        <v>272</v>
      </c>
      <c r="B225" t="s">
        <v>5</v>
      </c>
      <c r="C225" t="s">
        <v>423</v>
      </c>
      <c r="D225">
        <v>7</v>
      </c>
      <c r="E225" t="s">
        <v>424</v>
      </c>
    </row>
    <row r="226" spans="1:5" x14ac:dyDescent="0.35">
      <c r="A226" t="s">
        <v>272</v>
      </c>
      <c r="B226" t="s">
        <v>5</v>
      </c>
      <c r="C226" t="s">
        <v>425</v>
      </c>
      <c r="D226">
        <v>0</v>
      </c>
      <c r="E226" t="s">
        <v>426</v>
      </c>
    </row>
    <row r="227" spans="1:5" x14ac:dyDescent="0.35">
      <c r="A227" t="s">
        <v>4</v>
      </c>
      <c r="B227" t="s">
        <v>5</v>
      </c>
      <c r="C227" t="s">
        <v>427</v>
      </c>
      <c r="D227">
        <v>0</v>
      </c>
      <c r="E227" t="s">
        <v>428</v>
      </c>
    </row>
    <row r="228" spans="1:5" x14ac:dyDescent="0.35">
      <c r="A228" t="s">
        <v>272</v>
      </c>
      <c r="B228" t="s">
        <v>5</v>
      </c>
      <c r="C228" t="s">
        <v>429</v>
      </c>
      <c r="D228">
        <v>0</v>
      </c>
      <c r="E228" t="s">
        <v>430</v>
      </c>
    </row>
    <row r="229" spans="1:5" x14ac:dyDescent="0.35">
      <c r="A229" t="s">
        <v>272</v>
      </c>
      <c r="B229" t="s">
        <v>10</v>
      </c>
      <c r="C229" t="s">
        <v>431</v>
      </c>
      <c r="D229">
        <v>0</v>
      </c>
      <c r="E229" t="s">
        <v>432</v>
      </c>
    </row>
    <row r="230" spans="1:5" x14ac:dyDescent="0.35">
      <c r="A230" t="s">
        <v>272</v>
      </c>
      <c r="B230" t="s">
        <v>5</v>
      </c>
      <c r="C230" t="s">
        <v>433</v>
      </c>
      <c r="D230">
        <v>0</v>
      </c>
      <c r="E230" t="s">
        <v>434</v>
      </c>
    </row>
    <row r="231" spans="1:5" x14ac:dyDescent="0.35">
      <c r="A231" t="s">
        <v>272</v>
      </c>
      <c r="B231" t="s">
        <v>10</v>
      </c>
      <c r="C231" t="s">
        <v>435</v>
      </c>
      <c r="D231">
        <v>0</v>
      </c>
      <c r="E231" t="s">
        <v>436</v>
      </c>
    </row>
    <row r="232" spans="1:5" x14ac:dyDescent="0.35">
      <c r="A232" t="s">
        <v>272</v>
      </c>
      <c r="B232" t="s">
        <v>5</v>
      </c>
      <c r="C232" t="s">
        <v>437</v>
      </c>
      <c r="D232">
        <v>0</v>
      </c>
      <c r="E232" t="s">
        <v>438</v>
      </c>
    </row>
    <row r="233" spans="1:5" x14ac:dyDescent="0.35">
      <c r="A233" t="s">
        <v>272</v>
      </c>
      <c r="B233" t="s">
        <v>5</v>
      </c>
      <c r="C233" t="s">
        <v>439</v>
      </c>
      <c r="D233">
        <v>0</v>
      </c>
      <c r="E233" t="s">
        <v>440</v>
      </c>
    </row>
    <row r="234" spans="1:5" x14ac:dyDescent="0.35">
      <c r="A234" t="s">
        <v>272</v>
      </c>
      <c r="B234" t="s">
        <v>5</v>
      </c>
      <c r="C234" t="s">
        <v>441</v>
      </c>
      <c r="D234">
        <v>0</v>
      </c>
      <c r="E234" t="s">
        <v>442</v>
      </c>
    </row>
    <row r="235" spans="1:5" x14ac:dyDescent="0.35">
      <c r="A235" t="s">
        <v>4</v>
      </c>
      <c r="B235" t="s">
        <v>5</v>
      </c>
      <c r="C235" t="s">
        <v>443</v>
      </c>
      <c r="D235">
        <v>0</v>
      </c>
      <c r="E235" t="s">
        <v>444</v>
      </c>
    </row>
    <row r="236" spans="1:5" x14ac:dyDescent="0.35">
      <c r="A236" t="s">
        <v>272</v>
      </c>
      <c r="B236" t="s">
        <v>10</v>
      </c>
      <c r="C236" t="s">
        <v>445</v>
      </c>
      <c r="D236">
        <v>0</v>
      </c>
      <c r="E236" t="s">
        <v>446</v>
      </c>
    </row>
    <row r="237" spans="1:5" x14ac:dyDescent="0.35">
      <c r="A237" t="s">
        <v>272</v>
      </c>
      <c r="B237" t="s">
        <v>125</v>
      </c>
      <c r="C237" t="s">
        <v>447</v>
      </c>
      <c r="D237">
        <v>0</v>
      </c>
      <c r="E237" t="s">
        <v>448</v>
      </c>
    </row>
    <row r="238" spans="1:5" x14ac:dyDescent="0.35">
      <c r="A238" t="s">
        <v>272</v>
      </c>
      <c r="B238" t="s">
        <v>10</v>
      </c>
      <c r="C238" t="s">
        <v>449</v>
      </c>
      <c r="D238">
        <v>5</v>
      </c>
      <c r="E238" t="s">
        <v>450</v>
      </c>
    </row>
    <row r="239" spans="1:5" x14ac:dyDescent="0.35">
      <c r="A239" t="s">
        <v>272</v>
      </c>
      <c r="B239" t="s">
        <v>5</v>
      </c>
      <c r="C239" t="s">
        <v>451</v>
      </c>
      <c r="D239">
        <v>6</v>
      </c>
      <c r="E239" t="s">
        <v>452</v>
      </c>
    </row>
    <row r="240" spans="1:5" x14ac:dyDescent="0.35">
      <c r="A240" t="s">
        <v>272</v>
      </c>
      <c r="B240" t="s">
        <v>5</v>
      </c>
      <c r="C240" t="s">
        <v>453</v>
      </c>
      <c r="D240">
        <v>0</v>
      </c>
      <c r="E240" t="s">
        <v>454</v>
      </c>
    </row>
    <row r="241" spans="1:5" x14ac:dyDescent="0.35">
      <c r="A241" t="s">
        <v>272</v>
      </c>
      <c r="B241" t="s">
        <v>10</v>
      </c>
      <c r="C241" t="s">
        <v>455</v>
      </c>
      <c r="D241">
        <v>0</v>
      </c>
      <c r="E241" t="s">
        <v>456</v>
      </c>
    </row>
    <row r="242" spans="1:5" x14ac:dyDescent="0.35">
      <c r="A242" t="s">
        <v>272</v>
      </c>
      <c r="B242" t="s">
        <v>10</v>
      </c>
      <c r="C242" t="s">
        <v>457</v>
      </c>
      <c r="D242">
        <v>5</v>
      </c>
      <c r="E242" t="s">
        <v>458</v>
      </c>
    </row>
    <row r="243" spans="1:5" x14ac:dyDescent="0.35">
      <c r="A243" t="s">
        <v>272</v>
      </c>
      <c r="B243" t="s">
        <v>5</v>
      </c>
      <c r="C243" t="s">
        <v>459</v>
      </c>
      <c r="D243">
        <v>0</v>
      </c>
      <c r="E243" t="s">
        <v>460</v>
      </c>
    </row>
    <row r="244" spans="1:5" x14ac:dyDescent="0.35">
      <c r="A244" t="s">
        <v>272</v>
      </c>
      <c r="B244" t="s">
        <v>5</v>
      </c>
      <c r="C244" t="s">
        <v>451</v>
      </c>
      <c r="D244">
        <v>6</v>
      </c>
      <c r="E244" t="s">
        <v>452</v>
      </c>
    </row>
    <row r="245" spans="1:5" x14ac:dyDescent="0.35">
      <c r="A245" t="s">
        <v>272</v>
      </c>
      <c r="B245" t="s">
        <v>5</v>
      </c>
      <c r="C245" t="s">
        <v>453</v>
      </c>
      <c r="D245">
        <v>0</v>
      </c>
      <c r="E245" t="s">
        <v>454</v>
      </c>
    </row>
    <row r="246" spans="1:5" x14ac:dyDescent="0.35">
      <c r="A246" t="s">
        <v>272</v>
      </c>
      <c r="B246" t="s">
        <v>10</v>
      </c>
      <c r="C246" t="s">
        <v>455</v>
      </c>
      <c r="D246">
        <v>0</v>
      </c>
      <c r="E246" t="s">
        <v>456</v>
      </c>
    </row>
    <row r="247" spans="1:5" x14ac:dyDescent="0.35">
      <c r="A247" t="s">
        <v>272</v>
      </c>
      <c r="B247" t="s">
        <v>10</v>
      </c>
      <c r="C247" t="s">
        <v>457</v>
      </c>
      <c r="D247">
        <v>5</v>
      </c>
      <c r="E247" t="s">
        <v>458</v>
      </c>
    </row>
    <row r="248" spans="1:5" x14ac:dyDescent="0.35">
      <c r="A248" t="s">
        <v>272</v>
      </c>
      <c r="B248" t="s">
        <v>5</v>
      </c>
      <c r="C248" t="s">
        <v>459</v>
      </c>
      <c r="D248">
        <v>0</v>
      </c>
      <c r="E248" t="s">
        <v>460</v>
      </c>
    </row>
    <row r="249" spans="1:5" x14ac:dyDescent="0.35">
      <c r="A249" t="s">
        <v>272</v>
      </c>
      <c r="B249" t="s">
        <v>5</v>
      </c>
      <c r="C249" t="s">
        <v>331</v>
      </c>
      <c r="D249">
        <v>0</v>
      </c>
      <c r="E249" t="s">
        <v>332</v>
      </c>
    </row>
    <row r="250" spans="1:5" x14ac:dyDescent="0.35">
      <c r="A250" t="s">
        <v>272</v>
      </c>
      <c r="B250" t="s">
        <v>5</v>
      </c>
      <c r="C250" t="s">
        <v>333</v>
      </c>
      <c r="D250">
        <v>0</v>
      </c>
      <c r="E250" t="s">
        <v>334</v>
      </c>
    </row>
    <row r="251" spans="1:5" x14ac:dyDescent="0.35">
      <c r="A251" t="s">
        <v>272</v>
      </c>
      <c r="B251" t="s">
        <v>10</v>
      </c>
      <c r="C251" t="s">
        <v>461</v>
      </c>
      <c r="D251">
        <v>8</v>
      </c>
      <c r="E251" t="s">
        <v>462</v>
      </c>
    </row>
    <row r="252" spans="1:5" x14ac:dyDescent="0.35">
      <c r="A252" t="s">
        <v>272</v>
      </c>
      <c r="B252" t="s">
        <v>5</v>
      </c>
      <c r="C252" t="s">
        <v>463</v>
      </c>
      <c r="D252">
        <v>2</v>
      </c>
      <c r="E252" t="s">
        <v>464</v>
      </c>
    </row>
    <row r="253" spans="1:5" x14ac:dyDescent="0.35">
      <c r="A253" t="s">
        <v>272</v>
      </c>
      <c r="B253" t="s">
        <v>5</v>
      </c>
      <c r="C253" t="s">
        <v>465</v>
      </c>
      <c r="D253">
        <v>9</v>
      </c>
      <c r="E253" t="s">
        <v>466</v>
      </c>
    </row>
    <row r="254" spans="1:5" x14ac:dyDescent="0.35">
      <c r="A254" t="s">
        <v>272</v>
      </c>
      <c r="B254" t="s">
        <v>5</v>
      </c>
      <c r="C254" t="s">
        <v>467</v>
      </c>
      <c r="D254">
        <v>0</v>
      </c>
      <c r="E254" t="s">
        <v>468</v>
      </c>
    </row>
    <row r="255" spans="1:5" x14ac:dyDescent="0.35">
      <c r="A255" t="s">
        <v>272</v>
      </c>
      <c r="B255" t="s">
        <v>5</v>
      </c>
      <c r="C255" t="s">
        <v>469</v>
      </c>
      <c r="D255">
        <v>0</v>
      </c>
      <c r="E255" t="s">
        <v>470</v>
      </c>
    </row>
    <row r="256" spans="1:5" x14ac:dyDescent="0.35">
      <c r="A256" t="s">
        <v>272</v>
      </c>
      <c r="B256" t="s">
        <v>5</v>
      </c>
      <c r="C256" t="s">
        <v>471</v>
      </c>
      <c r="D256">
        <v>0</v>
      </c>
      <c r="E256" t="s">
        <v>472</v>
      </c>
    </row>
    <row r="257" spans="1:5" x14ac:dyDescent="0.35">
      <c r="A257" t="s">
        <v>272</v>
      </c>
      <c r="B257" t="s">
        <v>10</v>
      </c>
      <c r="C257" t="s">
        <v>473</v>
      </c>
      <c r="D257">
        <v>0</v>
      </c>
      <c r="E257" t="s">
        <v>474</v>
      </c>
    </row>
    <row r="258" spans="1:5" x14ac:dyDescent="0.35">
      <c r="A258" t="s">
        <v>272</v>
      </c>
      <c r="B258" t="s">
        <v>5</v>
      </c>
      <c r="C258" t="s">
        <v>475</v>
      </c>
      <c r="D258">
        <v>0</v>
      </c>
      <c r="E258" t="s">
        <v>476</v>
      </c>
    </row>
    <row r="259" spans="1:5" x14ac:dyDescent="0.35">
      <c r="A259" t="s">
        <v>272</v>
      </c>
      <c r="B259" t="s">
        <v>5</v>
      </c>
      <c r="C259" t="s">
        <v>477</v>
      </c>
      <c r="D259">
        <v>0</v>
      </c>
      <c r="E259" t="s">
        <v>478</v>
      </c>
    </row>
    <row r="260" spans="1:5" x14ac:dyDescent="0.35">
      <c r="A260" t="s">
        <v>272</v>
      </c>
      <c r="B260" t="s">
        <v>5</v>
      </c>
      <c r="C260" t="s">
        <v>479</v>
      </c>
      <c r="D260">
        <v>0</v>
      </c>
      <c r="E260" t="s">
        <v>480</v>
      </c>
    </row>
    <row r="261" spans="1:5" x14ac:dyDescent="0.35">
      <c r="A261" t="s">
        <v>272</v>
      </c>
      <c r="B261" t="s">
        <v>5</v>
      </c>
      <c r="C261" t="s">
        <v>481</v>
      </c>
      <c r="D261">
        <v>0</v>
      </c>
      <c r="E261" t="s">
        <v>482</v>
      </c>
    </row>
    <row r="262" spans="1:5" x14ac:dyDescent="0.35">
      <c r="A262" t="s">
        <v>272</v>
      </c>
      <c r="B262" t="s">
        <v>5</v>
      </c>
      <c r="C262" t="s">
        <v>483</v>
      </c>
      <c r="D262">
        <v>0</v>
      </c>
      <c r="E262" t="s">
        <v>484</v>
      </c>
    </row>
    <row r="263" spans="1:5" x14ac:dyDescent="0.35">
      <c r="A263" t="s">
        <v>272</v>
      </c>
      <c r="B263" t="s">
        <v>125</v>
      </c>
      <c r="C263" t="s">
        <v>485</v>
      </c>
      <c r="D263">
        <v>0</v>
      </c>
      <c r="E263" t="s">
        <v>486</v>
      </c>
    </row>
    <row r="264" spans="1:5" x14ac:dyDescent="0.35">
      <c r="A264" t="s">
        <v>272</v>
      </c>
      <c r="B264" t="s">
        <v>5</v>
      </c>
      <c r="C264" t="s">
        <v>487</v>
      </c>
      <c r="D264">
        <v>0</v>
      </c>
      <c r="E264" t="s">
        <v>488</v>
      </c>
    </row>
    <row r="265" spans="1:5" x14ac:dyDescent="0.35">
      <c r="A265" t="s">
        <v>272</v>
      </c>
      <c r="B265" t="s">
        <v>5</v>
      </c>
      <c r="C265" t="s">
        <v>489</v>
      </c>
      <c r="D265">
        <v>0</v>
      </c>
      <c r="E265" t="s">
        <v>490</v>
      </c>
    </row>
    <row r="266" spans="1:5" x14ac:dyDescent="0.35">
      <c r="A266" t="s">
        <v>272</v>
      </c>
      <c r="B266" t="s">
        <v>5</v>
      </c>
      <c r="C266" t="s">
        <v>491</v>
      </c>
      <c r="D266">
        <v>0</v>
      </c>
      <c r="E266" t="s">
        <v>492</v>
      </c>
    </row>
    <row r="267" spans="1:5" x14ac:dyDescent="0.35">
      <c r="A267" t="s">
        <v>272</v>
      </c>
      <c r="B267" t="s">
        <v>5</v>
      </c>
      <c r="C267" t="s">
        <v>493</v>
      </c>
      <c r="D267">
        <v>2</v>
      </c>
      <c r="E267" t="s">
        <v>494</v>
      </c>
    </row>
    <row r="268" spans="1:5" x14ac:dyDescent="0.35">
      <c r="A268" t="s">
        <v>272</v>
      </c>
      <c r="B268" t="s">
        <v>10</v>
      </c>
      <c r="C268" t="s">
        <v>495</v>
      </c>
      <c r="D268">
        <v>1</v>
      </c>
      <c r="E268" t="s">
        <v>496</v>
      </c>
    </row>
    <row r="269" spans="1:5" x14ac:dyDescent="0.35">
      <c r="A269" t="s">
        <v>272</v>
      </c>
      <c r="B269" t="s">
        <v>21</v>
      </c>
      <c r="C269" t="s">
        <v>497</v>
      </c>
      <c r="D269">
        <v>46</v>
      </c>
      <c r="E269" t="s">
        <v>498</v>
      </c>
    </row>
    <row r="270" spans="1:5" x14ac:dyDescent="0.35">
      <c r="A270" t="s">
        <v>272</v>
      </c>
      <c r="B270" t="s">
        <v>5</v>
      </c>
      <c r="C270" t="s">
        <v>499</v>
      </c>
      <c r="D270">
        <v>27</v>
      </c>
      <c r="E270" t="s">
        <v>500</v>
      </c>
    </row>
    <row r="271" spans="1:5" x14ac:dyDescent="0.35">
      <c r="A271" t="s">
        <v>272</v>
      </c>
      <c r="B271" t="s">
        <v>125</v>
      </c>
      <c r="C271" t="s">
        <v>369</v>
      </c>
      <c r="D271">
        <v>1</v>
      </c>
      <c r="E271" t="s">
        <v>370</v>
      </c>
    </row>
    <row r="272" spans="1:5" x14ac:dyDescent="0.35">
      <c r="A272" t="s">
        <v>272</v>
      </c>
      <c r="B272" t="s">
        <v>5</v>
      </c>
      <c r="C272" t="s">
        <v>371</v>
      </c>
      <c r="D272">
        <v>1</v>
      </c>
      <c r="E272" t="s">
        <v>372</v>
      </c>
    </row>
    <row r="273" spans="1:5" x14ac:dyDescent="0.35">
      <c r="A273" t="s">
        <v>272</v>
      </c>
      <c r="B273" t="s">
        <v>5</v>
      </c>
      <c r="C273" t="s">
        <v>373</v>
      </c>
      <c r="D273">
        <v>0</v>
      </c>
      <c r="E273" t="s">
        <v>374</v>
      </c>
    </row>
    <row r="274" spans="1:5" x14ac:dyDescent="0.35">
      <c r="A274" t="s">
        <v>272</v>
      </c>
      <c r="B274" t="s">
        <v>5</v>
      </c>
      <c r="C274" t="s">
        <v>375</v>
      </c>
      <c r="D274">
        <v>0</v>
      </c>
      <c r="E274" t="s">
        <v>376</v>
      </c>
    </row>
    <row r="275" spans="1:5" x14ac:dyDescent="0.35">
      <c r="A275" t="s">
        <v>272</v>
      </c>
      <c r="B275" t="s">
        <v>5</v>
      </c>
      <c r="C275" t="s">
        <v>377</v>
      </c>
      <c r="D275">
        <v>0</v>
      </c>
      <c r="E275" t="s">
        <v>378</v>
      </c>
    </row>
    <row r="276" spans="1:5" x14ac:dyDescent="0.35">
      <c r="A276" t="s">
        <v>272</v>
      </c>
      <c r="B276" t="s">
        <v>5</v>
      </c>
      <c r="C276" t="s">
        <v>379</v>
      </c>
      <c r="D276">
        <v>2</v>
      </c>
      <c r="E276" t="s">
        <v>380</v>
      </c>
    </row>
    <row r="277" spans="1:5" x14ac:dyDescent="0.35">
      <c r="A277" t="s">
        <v>4</v>
      </c>
      <c r="B277" t="s">
        <v>5</v>
      </c>
      <c r="C277" t="s">
        <v>381</v>
      </c>
      <c r="D277">
        <v>0</v>
      </c>
      <c r="E277" t="s">
        <v>382</v>
      </c>
    </row>
    <row r="278" spans="1:5" x14ac:dyDescent="0.35">
      <c r="A278" t="s">
        <v>272</v>
      </c>
      <c r="B278" t="s">
        <v>5</v>
      </c>
      <c r="C278" t="s">
        <v>383</v>
      </c>
      <c r="D278">
        <v>1</v>
      </c>
      <c r="E278" t="s">
        <v>384</v>
      </c>
    </row>
    <row r="279" spans="1:5" x14ac:dyDescent="0.35">
      <c r="A279" t="s">
        <v>272</v>
      </c>
      <c r="B279" t="s">
        <v>21</v>
      </c>
      <c r="C279" t="s">
        <v>385</v>
      </c>
      <c r="D279">
        <v>2</v>
      </c>
      <c r="E279" t="s">
        <v>386</v>
      </c>
    </row>
    <row r="280" spans="1:5" x14ac:dyDescent="0.35">
      <c r="A280" t="s">
        <v>272</v>
      </c>
      <c r="B280" t="s">
        <v>5</v>
      </c>
      <c r="C280" t="s">
        <v>387</v>
      </c>
      <c r="D280">
        <v>2</v>
      </c>
      <c r="E280" t="s">
        <v>388</v>
      </c>
    </row>
    <row r="281" spans="1:5" x14ac:dyDescent="0.35">
      <c r="A281" t="s">
        <v>272</v>
      </c>
      <c r="B281" t="s">
        <v>5</v>
      </c>
      <c r="C281" t="s">
        <v>501</v>
      </c>
      <c r="D281">
        <v>0</v>
      </c>
      <c r="E281" t="s">
        <v>502</v>
      </c>
    </row>
    <row r="282" spans="1:5" x14ac:dyDescent="0.35">
      <c r="A282" t="s">
        <v>272</v>
      </c>
      <c r="B282" t="s">
        <v>5</v>
      </c>
      <c r="C282" t="s">
        <v>503</v>
      </c>
      <c r="D282">
        <v>0</v>
      </c>
      <c r="E282" t="s">
        <v>504</v>
      </c>
    </row>
    <row r="283" spans="1:5" x14ac:dyDescent="0.35">
      <c r="A283" t="s">
        <v>272</v>
      </c>
      <c r="B283" t="s">
        <v>5</v>
      </c>
      <c r="C283" t="s">
        <v>505</v>
      </c>
      <c r="D283">
        <v>0</v>
      </c>
      <c r="E283" t="s">
        <v>506</v>
      </c>
    </row>
    <row r="284" spans="1:5" x14ac:dyDescent="0.35">
      <c r="A284" t="s">
        <v>272</v>
      </c>
      <c r="B284" t="s">
        <v>10</v>
      </c>
      <c r="C284" t="s">
        <v>507</v>
      </c>
      <c r="D284">
        <v>0</v>
      </c>
      <c r="E284" t="s">
        <v>508</v>
      </c>
    </row>
    <row r="285" spans="1:5" x14ac:dyDescent="0.35">
      <c r="A285" t="s">
        <v>272</v>
      </c>
      <c r="B285" t="s">
        <v>10</v>
      </c>
      <c r="C285" t="s">
        <v>509</v>
      </c>
      <c r="D285">
        <v>0</v>
      </c>
      <c r="E285" t="s">
        <v>510</v>
      </c>
    </row>
    <row r="286" spans="1:5" x14ac:dyDescent="0.35">
      <c r="A286" t="s">
        <v>272</v>
      </c>
      <c r="B286" t="s">
        <v>10</v>
      </c>
      <c r="C286" t="s">
        <v>511</v>
      </c>
      <c r="D286">
        <v>0</v>
      </c>
      <c r="E286" t="s">
        <v>512</v>
      </c>
    </row>
    <row r="287" spans="1:5" x14ac:dyDescent="0.35">
      <c r="A287" t="s">
        <v>272</v>
      </c>
      <c r="B287" t="s">
        <v>10</v>
      </c>
      <c r="C287" t="s">
        <v>513</v>
      </c>
      <c r="D287">
        <v>0</v>
      </c>
      <c r="E287" t="s">
        <v>514</v>
      </c>
    </row>
    <row r="288" spans="1:5" x14ac:dyDescent="0.35">
      <c r="A288" t="s">
        <v>272</v>
      </c>
      <c r="B288" t="s">
        <v>10</v>
      </c>
      <c r="C288" t="s">
        <v>515</v>
      </c>
      <c r="D288">
        <v>0</v>
      </c>
      <c r="E288" t="s">
        <v>516</v>
      </c>
    </row>
    <row r="289" spans="1:5" x14ac:dyDescent="0.35">
      <c r="A289" t="s">
        <v>272</v>
      </c>
      <c r="B289" t="s">
        <v>10</v>
      </c>
      <c r="C289" t="s">
        <v>517</v>
      </c>
      <c r="D289">
        <v>1</v>
      </c>
      <c r="E289" t="s">
        <v>518</v>
      </c>
    </row>
    <row r="290" spans="1:5" x14ac:dyDescent="0.35">
      <c r="A290" t="s">
        <v>272</v>
      </c>
      <c r="B290" t="s">
        <v>10</v>
      </c>
      <c r="C290" t="s">
        <v>519</v>
      </c>
      <c r="D290">
        <v>0</v>
      </c>
      <c r="E290" t="s">
        <v>520</v>
      </c>
    </row>
    <row r="291" spans="1:5" x14ac:dyDescent="0.35">
      <c r="A291" t="s">
        <v>272</v>
      </c>
      <c r="B291" t="s">
        <v>10</v>
      </c>
      <c r="C291" t="s">
        <v>521</v>
      </c>
      <c r="D291">
        <v>0</v>
      </c>
      <c r="E291" t="s">
        <v>522</v>
      </c>
    </row>
    <row r="292" spans="1:5" x14ac:dyDescent="0.35">
      <c r="A292" t="s">
        <v>272</v>
      </c>
      <c r="B292" t="s">
        <v>5</v>
      </c>
      <c r="C292" t="s">
        <v>523</v>
      </c>
      <c r="D292">
        <v>0</v>
      </c>
      <c r="E292" t="s">
        <v>524</v>
      </c>
    </row>
    <row r="293" spans="1:5" x14ac:dyDescent="0.35">
      <c r="A293" t="s">
        <v>272</v>
      </c>
      <c r="B293" t="s">
        <v>5</v>
      </c>
      <c r="C293" t="s">
        <v>525</v>
      </c>
      <c r="D293">
        <v>0</v>
      </c>
      <c r="E293" t="s">
        <v>526</v>
      </c>
    </row>
    <row r="294" spans="1:5" x14ac:dyDescent="0.35">
      <c r="A294" t="s">
        <v>272</v>
      </c>
      <c r="B294" t="s">
        <v>5</v>
      </c>
      <c r="C294" t="s">
        <v>527</v>
      </c>
      <c r="D294">
        <v>0</v>
      </c>
      <c r="E294" t="s">
        <v>528</v>
      </c>
    </row>
    <row r="295" spans="1:5" x14ac:dyDescent="0.35">
      <c r="A295" t="s">
        <v>272</v>
      </c>
      <c r="B295" t="s">
        <v>5</v>
      </c>
      <c r="C295" t="s">
        <v>529</v>
      </c>
      <c r="D295">
        <v>2</v>
      </c>
      <c r="E295" t="s">
        <v>530</v>
      </c>
    </row>
    <row r="296" spans="1:5" x14ac:dyDescent="0.35">
      <c r="A296" t="s">
        <v>272</v>
      </c>
      <c r="B296" t="s">
        <v>10</v>
      </c>
      <c r="C296" t="s">
        <v>531</v>
      </c>
      <c r="D296">
        <v>0</v>
      </c>
      <c r="E296" t="s">
        <v>532</v>
      </c>
    </row>
    <row r="297" spans="1:5" x14ac:dyDescent="0.35">
      <c r="A297" t="s">
        <v>272</v>
      </c>
      <c r="B297" t="s">
        <v>5</v>
      </c>
      <c r="C297" t="s">
        <v>533</v>
      </c>
      <c r="D297">
        <v>0</v>
      </c>
      <c r="E297" t="s">
        <v>534</v>
      </c>
    </row>
    <row r="298" spans="1:5" x14ac:dyDescent="0.35">
      <c r="A298" t="s">
        <v>272</v>
      </c>
      <c r="B298" t="s">
        <v>5</v>
      </c>
      <c r="C298" t="s">
        <v>535</v>
      </c>
      <c r="D298">
        <v>37</v>
      </c>
      <c r="E298" t="s">
        <v>536</v>
      </c>
    </row>
    <row r="299" spans="1:5" x14ac:dyDescent="0.35">
      <c r="A299" t="s">
        <v>272</v>
      </c>
      <c r="B299" t="s">
        <v>5</v>
      </c>
      <c r="C299" t="s">
        <v>537</v>
      </c>
      <c r="D299">
        <v>0</v>
      </c>
      <c r="E299" t="s">
        <v>538</v>
      </c>
    </row>
    <row r="300" spans="1:5" x14ac:dyDescent="0.35">
      <c r="A300" t="s">
        <v>272</v>
      </c>
      <c r="B300" t="s">
        <v>5</v>
      </c>
      <c r="C300" t="s">
        <v>539</v>
      </c>
      <c r="D300">
        <v>22</v>
      </c>
      <c r="E300" t="s">
        <v>540</v>
      </c>
    </row>
    <row r="301" spans="1:5" x14ac:dyDescent="0.35">
      <c r="A301" t="s">
        <v>272</v>
      </c>
      <c r="B301" t="s">
        <v>5</v>
      </c>
      <c r="C301" t="s">
        <v>541</v>
      </c>
      <c r="D301">
        <v>0</v>
      </c>
      <c r="E301" t="s">
        <v>542</v>
      </c>
    </row>
    <row r="302" spans="1:5" x14ac:dyDescent="0.35">
      <c r="A302" t="s">
        <v>272</v>
      </c>
      <c r="B302" t="s">
        <v>5</v>
      </c>
      <c r="C302" t="s">
        <v>543</v>
      </c>
      <c r="D302">
        <v>0</v>
      </c>
      <c r="E302" t="s">
        <v>544</v>
      </c>
    </row>
    <row r="303" spans="1:5" x14ac:dyDescent="0.35">
      <c r="A303" t="s">
        <v>272</v>
      </c>
      <c r="B303" t="s">
        <v>5</v>
      </c>
      <c r="C303" t="s">
        <v>545</v>
      </c>
      <c r="D303">
        <v>4</v>
      </c>
      <c r="E303" t="s">
        <v>546</v>
      </c>
    </row>
    <row r="304" spans="1:5" x14ac:dyDescent="0.35">
      <c r="A304" t="s">
        <v>272</v>
      </c>
      <c r="B304" t="s">
        <v>5</v>
      </c>
      <c r="C304" t="s">
        <v>547</v>
      </c>
      <c r="D304">
        <v>2</v>
      </c>
      <c r="E304" t="s">
        <v>548</v>
      </c>
    </row>
    <row r="305" spans="1:5" x14ac:dyDescent="0.35">
      <c r="A305" t="s">
        <v>272</v>
      </c>
      <c r="B305" t="s">
        <v>5</v>
      </c>
      <c r="C305" t="s">
        <v>549</v>
      </c>
      <c r="D305">
        <v>0</v>
      </c>
      <c r="E305" t="s">
        <v>550</v>
      </c>
    </row>
    <row r="306" spans="1:5" x14ac:dyDescent="0.35">
      <c r="A306" t="s">
        <v>272</v>
      </c>
      <c r="B306" t="s">
        <v>10</v>
      </c>
      <c r="C306" t="s">
        <v>551</v>
      </c>
      <c r="D306">
        <v>0</v>
      </c>
      <c r="E306" t="s">
        <v>552</v>
      </c>
    </row>
    <row r="307" spans="1:5" x14ac:dyDescent="0.35">
      <c r="A307" t="s">
        <v>272</v>
      </c>
      <c r="B307" t="s">
        <v>10</v>
      </c>
      <c r="C307" t="s">
        <v>553</v>
      </c>
      <c r="D307">
        <v>0</v>
      </c>
      <c r="E307" t="s">
        <v>554</v>
      </c>
    </row>
    <row r="308" spans="1:5" x14ac:dyDescent="0.35">
      <c r="A308" t="s">
        <v>272</v>
      </c>
      <c r="B308" t="s">
        <v>5</v>
      </c>
      <c r="C308" t="s">
        <v>555</v>
      </c>
      <c r="D308">
        <v>0</v>
      </c>
      <c r="E308" t="s">
        <v>556</v>
      </c>
    </row>
    <row r="309" spans="1:5" x14ac:dyDescent="0.35">
      <c r="A309" t="s">
        <v>272</v>
      </c>
      <c r="B309" t="s">
        <v>10</v>
      </c>
      <c r="C309" t="s">
        <v>557</v>
      </c>
      <c r="D309">
        <v>0</v>
      </c>
      <c r="E309" t="s">
        <v>558</v>
      </c>
    </row>
    <row r="310" spans="1:5" x14ac:dyDescent="0.35">
      <c r="A310" t="s">
        <v>272</v>
      </c>
      <c r="B310" t="s">
        <v>10</v>
      </c>
      <c r="C310" t="s">
        <v>559</v>
      </c>
      <c r="D310">
        <v>0</v>
      </c>
      <c r="E310" t="s">
        <v>560</v>
      </c>
    </row>
    <row r="311" spans="1:5" x14ac:dyDescent="0.35">
      <c r="A311" t="s">
        <v>272</v>
      </c>
      <c r="B311" t="s">
        <v>10</v>
      </c>
      <c r="C311" t="s">
        <v>561</v>
      </c>
      <c r="D311">
        <v>38</v>
      </c>
      <c r="E311" t="s">
        <v>562</v>
      </c>
    </row>
    <row r="312" spans="1:5" x14ac:dyDescent="0.35">
      <c r="A312" t="s">
        <v>272</v>
      </c>
      <c r="B312" t="s">
        <v>125</v>
      </c>
      <c r="C312" t="s">
        <v>563</v>
      </c>
      <c r="D312">
        <v>0</v>
      </c>
      <c r="E312" t="s">
        <v>564</v>
      </c>
    </row>
    <row r="313" spans="1:5" x14ac:dyDescent="0.35">
      <c r="A313" t="s">
        <v>4</v>
      </c>
      <c r="B313" t="s">
        <v>5</v>
      </c>
      <c r="C313" t="s">
        <v>565</v>
      </c>
      <c r="D313">
        <v>1</v>
      </c>
      <c r="E313" t="s">
        <v>566</v>
      </c>
    </row>
    <row r="314" spans="1:5" x14ac:dyDescent="0.35">
      <c r="A314" t="s">
        <v>4</v>
      </c>
      <c r="B314" t="s">
        <v>10</v>
      </c>
      <c r="C314" t="s">
        <v>567</v>
      </c>
      <c r="D314">
        <v>0</v>
      </c>
      <c r="E314" t="s">
        <v>568</v>
      </c>
    </row>
    <row r="315" spans="1:5" x14ac:dyDescent="0.35">
      <c r="A315" t="s">
        <v>4</v>
      </c>
      <c r="B315" t="s">
        <v>10</v>
      </c>
      <c r="C315" t="s">
        <v>569</v>
      </c>
      <c r="D315">
        <v>3</v>
      </c>
      <c r="E315" t="s">
        <v>570</v>
      </c>
    </row>
    <row r="316" spans="1:5" x14ac:dyDescent="0.35">
      <c r="A316" t="s">
        <v>4</v>
      </c>
      <c r="B316" t="s">
        <v>5</v>
      </c>
      <c r="C316" t="s">
        <v>571</v>
      </c>
      <c r="D316">
        <v>6</v>
      </c>
      <c r="E316" t="s">
        <v>572</v>
      </c>
    </row>
    <row r="317" spans="1:5" x14ac:dyDescent="0.35">
      <c r="A317" t="s">
        <v>4</v>
      </c>
      <c r="B317" t="s">
        <v>21</v>
      </c>
      <c r="C317" t="s">
        <v>85</v>
      </c>
      <c r="D317">
        <v>0</v>
      </c>
      <c r="E317" t="s">
        <v>86</v>
      </c>
    </row>
    <row r="318" spans="1:5" x14ac:dyDescent="0.35">
      <c r="A318" t="s">
        <v>4</v>
      </c>
      <c r="B318" t="s">
        <v>10</v>
      </c>
      <c r="C318" t="s">
        <v>87</v>
      </c>
      <c r="D318">
        <v>0</v>
      </c>
      <c r="E318" t="s">
        <v>88</v>
      </c>
    </row>
    <row r="319" spans="1:5" x14ac:dyDescent="0.35">
      <c r="A319" t="s">
        <v>4</v>
      </c>
      <c r="B319" t="s">
        <v>5</v>
      </c>
      <c r="C319" t="s">
        <v>89</v>
      </c>
      <c r="D319">
        <v>0</v>
      </c>
      <c r="E319" t="s">
        <v>90</v>
      </c>
    </row>
    <row r="320" spans="1:5" x14ac:dyDescent="0.35">
      <c r="A320" t="s">
        <v>4</v>
      </c>
      <c r="B320" t="s">
        <v>10</v>
      </c>
      <c r="C320" t="s">
        <v>91</v>
      </c>
      <c r="D320">
        <v>2</v>
      </c>
      <c r="E320" t="s">
        <v>92</v>
      </c>
    </row>
    <row r="321" spans="1:5" x14ac:dyDescent="0.35">
      <c r="A321" t="s">
        <v>4</v>
      </c>
      <c r="B321" t="s">
        <v>5</v>
      </c>
      <c r="C321" t="s">
        <v>93</v>
      </c>
      <c r="D321">
        <v>0</v>
      </c>
      <c r="E321" t="s">
        <v>94</v>
      </c>
    </row>
    <row r="322" spans="1:5" x14ac:dyDescent="0.35">
      <c r="A322" t="s">
        <v>4</v>
      </c>
      <c r="B322" t="s">
        <v>5</v>
      </c>
      <c r="C322" t="s">
        <v>95</v>
      </c>
      <c r="D322">
        <v>0</v>
      </c>
      <c r="E322" t="s">
        <v>96</v>
      </c>
    </row>
    <row r="323" spans="1:5" x14ac:dyDescent="0.35">
      <c r="A323" t="s">
        <v>4</v>
      </c>
      <c r="B323" t="s">
        <v>5</v>
      </c>
      <c r="C323" t="s">
        <v>97</v>
      </c>
      <c r="D323">
        <v>0</v>
      </c>
      <c r="E323" t="s">
        <v>98</v>
      </c>
    </row>
    <row r="324" spans="1:5" x14ac:dyDescent="0.35">
      <c r="A324" t="s">
        <v>4</v>
      </c>
      <c r="B324" t="s">
        <v>5</v>
      </c>
      <c r="C324" t="s">
        <v>573</v>
      </c>
      <c r="D324">
        <v>0</v>
      </c>
      <c r="E324" t="s">
        <v>574</v>
      </c>
    </row>
    <row r="325" spans="1:5" x14ac:dyDescent="0.35">
      <c r="A325" t="s">
        <v>4</v>
      </c>
      <c r="B325" t="s">
        <v>10</v>
      </c>
      <c r="C325" t="s">
        <v>575</v>
      </c>
      <c r="D325">
        <v>0</v>
      </c>
      <c r="E325" t="s">
        <v>576</v>
      </c>
    </row>
    <row r="326" spans="1:5" x14ac:dyDescent="0.35">
      <c r="A326" t="s">
        <v>4</v>
      </c>
      <c r="B326" t="s">
        <v>5</v>
      </c>
      <c r="C326" t="s">
        <v>577</v>
      </c>
      <c r="D326">
        <v>4</v>
      </c>
      <c r="E326" t="s">
        <v>578</v>
      </c>
    </row>
    <row r="327" spans="1:5" x14ac:dyDescent="0.35">
      <c r="A327" t="s">
        <v>4</v>
      </c>
      <c r="B327" t="s">
        <v>5</v>
      </c>
      <c r="C327" t="s">
        <v>579</v>
      </c>
      <c r="D327">
        <v>0</v>
      </c>
      <c r="E327" t="s">
        <v>580</v>
      </c>
    </row>
    <row r="328" spans="1:5" x14ac:dyDescent="0.35">
      <c r="A328" t="s">
        <v>4</v>
      </c>
      <c r="B328" t="s">
        <v>10</v>
      </c>
      <c r="C328" t="s">
        <v>581</v>
      </c>
      <c r="D328">
        <v>1</v>
      </c>
      <c r="E328" t="s">
        <v>582</v>
      </c>
    </row>
    <row r="329" spans="1:5" x14ac:dyDescent="0.35">
      <c r="A329" t="s">
        <v>4</v>
      </c>
      <c r="B329" t="s">
        <v>10</v>
      </c>
      <c r="C329" t="s">
        <v>583</v>
      </c>
      <c r="D329">
        <v>0</v>
      </c>
      <c r="E329" t="s">
        <v>584</v>
      </c>
    </row>
    <row r="330" spans="1:5" x14ac:dyDescent="0.35">
      <c r="A330" t="s">
        <v>4</v>
      </c>
      <c r="B330" t="s">
        <v>10</v>
      </c>
      <c r="C330" t="s">
        <v>585</v>
      </c>
      <c r="D330">
        <v>0</v>
      </c>
      <c r="E330" t="s">
        <v>586</v>
      </c>
    </row>
    <row r="331" spans="1:5" x14ac:dyDescent="0.35">
      <c r="A331" t="s">
        <v>4</v>
      </c>
      <c r="B331" t="s">
        <v>10</v>
      </c>
      <c r="C331" t="s">
        <v>587</v>
      </c>
      <c r="D331">
        <v>0</v>
      </c>
      <c r="E331" t="s">
        <v>588</v>
      </c>
    </row>
    <row r="332" spans="1:5" x14ac:dyDescent="0.35">
      <c r="A332" t="s">
        <v>4</v>
      </c>
      <c r="B332" t="s">
        <v>21</v>
      </c>
      <c r="C332" t="s">
        <v>589</v>
      </c>
      <c r="D332">
        <v>0</v>
      </c>
      <c r="E332" t="s">
        <v>590</v>
      </c>
    </row>
    <row r="333" spans="1:5" x14ac:dyDescent="0.35">
      <c r="A333" t="s">
        <v>4</v>
      </c>
      <c r="B333" t="s">
        <v>5</v>
      </c>
      <c r="C333" t="s">
        <v>591</v>
      </c>
      <c r="D333">
        <v>0</v>
      </c>
      <c r="E333" t="s">
        <v>592</v>
      </c>
    </row>
    <row r="334" spans="1:5" x14ac:dyDescent="0.35">
      <c r="A334" t="s">
        <v>4</v>
      </c>
      <c r="B334" t="s">
        <v>10</v>
      </c>
      <c r="C334" t="s">
        <v>593</v>
      </c>
      <c r="D334">
        <v>1</v>
      </c>
      <c r="E334" t="s">
        <v>594</v>
      </c>
    </row>
    <row r="335" spans="1:5" x14ac:dyDescent="0.35">
      <c r="A335" t="s">
        <v>4</v>
      </c>
      <c r="B335" t="s">
        <v>5</v>
      </c>
      <c r="C335" t="s">
        <v>595</v>
      </c>
      <c r="D335">
        <v>2</v>
      </c>
      <c r="E335" t="s">
        <v>596</v>
      </c>
    </row>
    <row r="336" spans="1:5" x14ac:dyDescent="0.35">
      <c r="A336" t="s">
        <v>4</v>
      </c>
      <c r="B336" t="s">
        <v>10</v>
      </c>
      <c r="C336" t="s">
        <v>597</v>
      </c>
      <c r="D336">
        <v>1</v>
      </c>
      <c r="E336" t="s">
        <v>598</v>
      </c>
    </row>
    <row r="337" spans="1:5" x14ac:dyDescent="0.35">
      <c r="A337" t="s">
        <v>4</v>
      </c>
      <c r="B337" t="s">
        <v>21</v>
      </c>
      <c r="C337" t="s">
        <v>599</v>
      </c>
      <c r="D337">
        <v>0</v>
      </c>
      <c r="E337" t="s">
        <v>600</v>
      </c>
    </row>
    <row r="338" spans="1:5" x14ac:dyDescent="0.35">
      <c r="A338" t="s">
        <v>4</v>
      </c>
      <c r="B338" t="s">
        <v>10</v>
      </c>
      <c r="C338" t="s">
        <v>601</v>
      </c>
      <c r="D338">
        <v>0</v>
      </c>
      <c r="E338" t="s">
        <v>602</v>
      </c>
    </row>
    <row r="339" spans="1:5" x14ac:dyDescent="0.35">
      <c r="A339" t="s">
        <v>4</v>
      </c>
      <c r="B339" t="s">
        <v>10</v>
      </c>
      <c r="C339" t="s">
        <v>603</v>
      </c>
      <c r="D339">
        <v>0</v>
      </c>
      <c r="E339" t="s">
        <v>604</v>
      </c>
    </row>
    <row r="340" spans="1:5" x14ac:dyDescent="0.35">
      <c r="A340" t="s">
        <v>4</v>
      </c>
      <c r="B340" t="s">
        <v>10</v>
      </c>
      <c r="C340" t="s">
        <v>605</v>
      </c>
      <c r="D340">
        <v>1</v>
      </c>
      <c r="E340" t="s">
        <v>606</v>
      </c>
    </row>
    <row r="341" spans="1:5" x14ac:dyDescent="0.35">
      <c r="A341" t="s">
        <v>4</v>
      </c>
      <c r="B341" t="s">
        <v>5</v>
      </c>
      <c r="C341" t="s">
        <v>607</v>
      </c>
      <c r="D341">
        <v>0</v>
      </c>
      <c r="E341" t="s">
        <v>608</v>
      </c>
    </row>
    <row r="342" spans="1:5" x14ac:dyDescent="0.35">
      <c r="A342" t="s">
        <v>4</v>
      </c>
      <c r="B342" t="s">
        <v>5</v>
      </c>
      <c r="C342" t="s">
        <v>609</v>
      </c>
      <c r="D342">
        <v>0</v>
      </c>
      <c r="E342" t="s">
        <v>610</v>
      </c>
    </row>
    <row r="343" spans="1:5" x14ac:dyDescent="0.35">
      <c r="A343" t="s">
        <v>4</v>
      </c>
      <c r="B343" t="s">
        <v>5</v>
      </c>
      <c r="C343" t="s">
        <v>178</v>
      </c>
      <c r="D343">
        <v>1</v>
      </c>
      <c r="E343" t="s">
        <v>179</v>
      </c>
    </row>
    <row r="344" spans="1:5" x14ac:dyDescent="0.35">
      <c r="A344" t="s">
        <v>4</v>
      </c>
      <c r="B344" t="s">
        <v>10</v>
      </c>
      <c r="C344" t="s">
        <v>180</v>
      </c>
      <c r="D344">
        <v>2</v>
      </c>
      <c r="E344" t="s">
        <v>181</v>
      </c>
    </row>
    <row r="345" spans="1:5" x14ac:dyDescent="0.35">
      <c r="A345" t="s">
        <v>4</v>
      </c>
      <c r="B345" t="s">
        <v>10</v>
      </c>
      <c r="C345" t="s">
        <v>182</v>
      </c>
      <c r="D345">
        <v>35</v>
      </c>
      <c r="E345" t="s">
        <v>183</v>
      </c>
    </row>
    <row r="346" spans="1:5" x14ac:dyDescent="0.35">
      <c r="A346" t="s">
        <v>4</v>
      </c>
      <c r="B346" t="s">
        <v>10</v>
      </c>
      <c r="C346" t="s">
        <v>138</v>
      </c>
      <c r="D346">
        <v>0</v>
      </c>
      <c r="E346" t="s">
        <v>139</v>
      </c>
    </row>
    <row r="347" spans="1:5" x14ac:dyDescent="0.35">
      <c r="A347" t="s">
        <v>4</v>
      </c>
      <c r="B347" t="s">
        <v>5</v>
      </c>
      <c r="C347" t="s">
        <v>140</v>
      </c>
      <c r="D347">
        <v>1</v>
      </c>
      <c r="E347" t="s">
        <v>141</v>
      </c>
    </row>
    <row r="348" spans="1:5" x14ac:dyDescent="0.35">
      <c r="A348" t="s">
        <v>4</v>
      </c>
      <c r="B348" t="s">
        <v>10</v>
      </c>
      <c r="C348" t="s">
        <v>142</v>
      </c>
      <c r="D348">
        <v>0</v>
      </c>
      <c r="E348" t="s">
        <v>143</v>
      </c>
    </row>
    <row r="349" spans="1:5" x14ac:dyDescent="0.35">
      <c r="A349" t="s">
        <v>4</v>
      </c>
      <c r="B349" t="s">
        <v>5</v>
      </c>
      <c r="C349" t="s">
        <v>144</v>
      </c>
      <c r="D349">
        <v>0</v>
      </c>
      <c r="E349" t="s">
        <v>145</v>
      </c>
    </row>
    <row r="350" spans="1:5" x14ac:dyDescent="0.35">
      <c r="A350" t="s">
        <v>4</v>
      </c>
      <c r="B350" t="s">
        <v>5</v>
      </c>
      <c r="C350" t="s">
        <v>146</v>
      </c>
      <c r="D350">
        <v>1</v>
      </c>
      <c r="E350" t="s">
        <v>147</v>
      </c>
    </row>
    <row r="351" spans="1:5" x14ac:dyDescent="0.35">
      <c r="A351" t="s">
        <v>4</v>
      </c>
      <c r="B351" t="s">
        <v>10</v>
      </c>
      <c r="C351" t="s">
        <v>148</v>
      </c>
      <c r="D351">
        <v>0</v>
      </c>
      <c r="E351" t="s">
        <v>149</v>
      </c>
    </row>
    <row r="352" spans="1:5" x14ac:dyDescent="0.35">
      <c r="A352" t="s">
        <v>4</v>
      </c>
      <c r="B352" t="s">
        <v>10</v>
      </c>
      <c r="C352" t="s">
        <v>150</v>
      </c>
      <c r="D352">
        <v>10</v>
      </c>
      <c r="E352" t="s">
        <v>151</v>
      </c>
    </row>
    <row r="353" spans="1:5" x14ac:dyDescent="0.35">
      <c r="A353" t="s">
        <v>4</v>
      </c>
      <c r="B353" t="s">
        <v>10</v>
      </c>
      <c r="C353" t="s">
        <v>611</v>
      </c>
      <c r="D353">
        <v>1</v>
      </c>
      <c r="E353" t="s">
        <v>612</v>
      </c>
    </row>
    <row r="354" spans="1:5" x14ac:dyDescent="0.35">
      <c r="A354" t="s">
        <v>4</v>
      </c>
      <c r="B354" t="s">
        <v>5</v>
      </c>
      <c r="C354" t="s">
        <v>613</v>
      </c>
      <c r="D354">
        <v>0</v>
      </c>
      <c r="E354" t="s">
        <v>614</v>
      </c>
    </row>
    <row r="355" spans="1:5" x14ac:dyDescent="0.35">
      <c r="A355" t="s">
        <v>4</v>
      </c>
      <c r="B355" t="s">
        <v>10</v>
      </c>
      <c r="C355" t="s">
        <v>615</v>
      </c>
      <c r="D355">
        <v>0</v>
      </c>
      <c r="E355" t="s">
        <v>616</v>
      </c>
    </row>
    <row r="356" spans="1:5" x14ac:dyDescent="0.35">
      <c r="A356" t="s">
        <v>4</v>
      </c>
      <c r="B356" t="s">
        <v>10</v>
      </c>
      <c r="C356" t="s">
        <v>617</v>
      </c>
      <c r="D356">
        <v>2</v>
      </c>
      <c r="E356" t="s">
        <v>618</v>
      </c>
    </row>
    <row r="357" spans="1:5" x14ac:dyDescent="0.35">
      <c r="A357" t="s">
        <v>4</v>
      </c>
      <c r="B357" t="s">
        <v>10</v>
      </c>
      <c r="C357" t="s">
        <v>619</v>
      </c>
      <c r="D357">
        <v>0</v>
      </c>
      <c r="E357" t="s">
        <v>620</v>
      </c>
    </row>
    <row r="358" spans="1:5" x14ac:dyDescent="0.35">
      <c r="A358" t="s">
        <v>4</v>
      </c>
      <c r="B358" t="s">
        <v>10</v>
      </c>
      <c r="C358" t="s">
        <v>621</v>
      </c>
      <c r="D358">
        <v>2</v>
      </c>
      <c r="E358" t="s">
        <v>622</v>
      </c>
    </row>
    <row r="359" spans="1:5" x14ac:dyDescent="0.35">
      <c r="A359" t="s">
        <v>4</v>
      </c>
      <c r="B359" t="s">
        <v>5</v>
      </c>
      <c r="C359" t="s">
        <v>623</v>
      </c>
      <c r="D359">
        <v>0</v>
      </c>
      <c r="E359" t="s">
        <v>624</v>
      </c>
    </row>
    <row r="360" spans="1:5" x14ac:dyDescent="0.35">
      <c r="A360" t="s">
        <v>4</v>
      </c>
      <c r="B360" t="s">
        <v>5</v>
      </c>
      <c r="C360" t="s">
        <v>625</v>
      </c>
      <c r="D360">
        <v>0</v>
      </c>
      <c r="E360" t="s">
        <v>626</v>
      </c>
    </row>
    <row r="361" spans="1:5" x14ac:dyDescent="0.35">
      <c r="A361" t="s">
        <v>4</v>
      </c>
      <c r="B361" t="s">
        <v>5</v>
      </c>
      <c r="C361" t="s">
        <v>627</v>
      </c>
      <c r="D361">
        <v>0</v>
      </c>
      <c r="E361" t="s">
        <v>628</v>
      </c>
    </row>
    <row r="362" spans="1:5" x14ac:dyDescent="0.35">
      <c r="A362" t="s">
        <v>4</v>
      </c>
      <c r="B362" t="s">
        <v>10</v>
      </c>
      <c r="C362" t="s">
        <v>629</v>
      </c>
      <c r="D362">
        <v>30</v>
      </c>
      <c r="E362" t="s">
        <v>630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3DF04-7C28-4B3D-BBA7-5BC73E990983}">
  <dimension ref="A1:H16"/>
  <sheetViews>
    <sheetView workbookViewId="0">
      <selection activeCell="D1" sqref="D1:D1048576"/>
    </sheetView>
  </sheetViews>
  <sheetFormatPr defaultRowHeight="14.5" x14ac:dyDescent="0.35"/>
  <cols>
    <col min="1" max="1" width="9.36328125" bestFit="1" customWidth="1"/>
    <col min="2" max="2" width="8.6328125" bestFit="1" customWidth="1"/>
    <col min="3" max="3" width="19.26953125" bestFit="1" customWidth="1"/>
    <col min="4" max="4" width="7.6328125" bestFit="1" customWidth="1"/>
    <col min="8" max="8" width="19.54296875" bestFit="1" customWidth="1"/>
  </cols>
  <sheetData>
    <row r="1" spans="1:8" x14ac:dyDescent="0.35">
      <c r="A1" s="1" t="s">
        <v>0</v>
      </c>
      <c r="B1" s="1" t="s">
        <v>1</v>
      </c>
      <c r="C1" s="1" t="s">
        <v>632</v>
      </c>
      <c r="D1" s="1" t="s">
        <v>631</v>
      </c>
      <c r="H1" t="s">
        <v>633</v>
      </c>
    </row>
    <row r="2" spans="1:8" x14ac:dyDescent="0.35">
      <c r="A2" t="s">
        <v>4</v>
      </c>
      <c r="B2" t="s">
        <v>125</v>
      </c>
      <c r="C2" s="3" t="s">
        <v>126</v>
      </c>
      <c r="D2">
        <f>INT((DATE(MID(C2,1,4),MID(C2,6,2),MID(C2,9,2))+TIME(MID(C2,12,2),MID(C2,15,2),MID(C2,18,2))-H2)*1440)</f>
        <v>15617</v>
      </c>
      <c r="H2" s="2">
        <v>45665.09097222222</v>
      </c>
    </row>
    <row r="3" spans="1:8" x14ac:dyDescent="0.35">
      <c r="A3" t="s">
        <v>4</v>
      </c>
      <c r="B3" t="s">
        <v>125</v>
      </c>
      <c r="C3" t="s">
        <v>200</v>
      </c>
      <c r="D3">
        <f>INT((DATE(MID(C3,1,4),MID(C3,6,2),MID(C3,9,2))+TIME(MID(C3,12,2),MID(C3,15,2),MID(C3,18,2))-H2)*1440)</f>
        <v>456</v>
      </c>
    </row>
    <row r="16" spans="1:8" x14ac:dyDescent="0.35">
      <c r="C16"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B3D47-7329-4257-83F6-8B6ED1F560A3}">
  <dimension ref="A1:F232"/>
  <sheetViews>
    <sheetView workbookViewId="0">
      <selection activeCell="F10" sqref="F10"/>
    </sheetView>
  </sheetViews>
  <sheetFormatPr defaultRowHeight="14.5" x14ac:dyDescent="0.35"/>
  <cols>
    <col min="1" max="1" width="13.90625" bestFit="1" customWidth="1"/>
    <col min="2" max="2" width="10.26953125" bestFit="1" customWidth="1"/>
    <col min="3" max="3" width="19.26953125" bestFit="1" customWidth="1"/>
    <col min="4" max="4" width="7.6328125" bestFit="1" customWidth="1"/>
    <col min="6" max="6" width="19.7265625" bestFit="1" customWidth="1"/>
  </cols>
  <sheetData>
    <row r="1" spans="1:6" x14ac:dyDescent="0.35">
      <c r="A1" s="1" t="s">
        <v>0</v>
      </c>
      <c r="B1" s="1" t="s">
        <v>1</v>
      </c>
      <c r="C1" s="1" t="s">
        <v>632</v>
      </c>
      <c r="D1" s="1" t="s">
        <v>631</v>
      </c>
      <c r="E1" s="6" t="s">
        <v>634</v>
      </c>
      <c r="F1" s="5" t="s">
        <v>633</v>
      </c>
    </row>
    <row r="2" spans="1:6" x14ac:dyDescent="0.35">
      <c r="A2" t="s">
        <v>4</v>
      </c>
      <c r="B2" t="s">
        <v>5</v>
      </c>
      <c r="C2" t="s">
        <v>6</v>
      </c>
      <c r="D2">
        <f>INT((DATE(MID(C2,1,4),MID(C2,6,2),MID(C2,9,2))+TIME(MID(C2,12,2),MID(C2,15,2),MID(C2,18,2))-$F$2)*1440)</f>
        <v>1826</v>
      </c>
      <c r="E2">
        <f>D2/1440</f>
        <v>1.2680555555555555</v>
      </c>
      <c r="F2" s="2">
        <v>45665.09097222222</v>
      </c>
    </row>
    <row r="3" spans="1:6" x14ac:dyDescent="0.35">
      <c r="A3" t="s">
        <v>4</v>
      </c>
      <c r="B3" t="s">
        <v>5</v>
      </c>
      <c r="C3" t="s">
        <v>8</v>
      </c>
      <c r="D3">
        <f>INT((DATE(MID(C3,1,4),MID(C3,6,2),MID(C3,9,2))+TIME(MID(C3,12,2),MID(C3,15,2),MID(C3,18,2))-$F$2)*1440)</f>
        <v>993</v>
      </c>
      <c r="E3">
        <f t="shared" ref="E3:E66" si="0">D3/1440</f>
        <v>0.68958333333333333</v>
      </c>
    </row>
    <row r="4" spans="1:6" x14ac:dyDescent="0.35">
      <c r="A4" t="s">
        <v>4</v>
      </c>
      <c r="B4" t="s">
        <v>5</v>
      </c>
      <c r="C4" t="s">
        <v>13</v>
      </c>
      <c r="D4">
        <f>INT((DATE(MID(C4,1,4),MID(C4,6,2),MID(C4,9,2))+TIME(MID(C4,12,2),MID(C4,15,2),MID(C4,18,2))-$F$2)*1440)</f>
        <v>13757</v>
      </c>
      <c r="E4">
        <f t="shared" si="0"/>
        <v>9.5534722222222221</v>
      </c>
    </row>
    <row r="5" spans="1:6" x14ac:dyDescent="0.35">
      <c r="A5" t="s">
        <v>4</v>
      </c>
      <c r="B5" t="s">
        <v>5</v>
      </c>
      <c r="C5" t="s">
        <v>15</v>
      </c>
      <c r="D5">
        <f>INT((DATE(MID(C5,1,4),MID(C5,6,2),MID(C5,9,2))+TIME(MID(C5,12,2),MID(C5,15,2),MID(C5,18,2))-$F$2)*1440)</f>
        <v>12186</v>
      </c>
      <c r="E5">
        <f t="shared" si="0"/>
        <v>8.4625000000000004</v>
      </c>
    </row>
    <row r="6" spans="1:6" x14ac:dyDescent="0.35">
      <c r="A6" t="s">
        <v>4</v>
      </c>
      <c r="B6" t="s">
        <v>5</v>
      </c>
      <c r="C6" t="s">
        <v>17</v>
      </c>
      <c r="D6">
        <f t="shared" ref="D6:D69" si="1">INT((DATE(MID(C6,1,4),MID(C6,6,2),MID(C6,9,2))+TIME(MID(C6,12,2),MID(C6,15,2),MID(C6,18,2))-$F$2)*1440)</f>
        <v>12175</v>
      </c>
      <c r="E6">
        <f t="shared" si="0"/>
        <v>8.4548611111111107</v>
      </c>
    </row>
    <row r="7" spans="1:6" x14ac:dyDescent="0.35">
      <c r="A7" t="s">
        <v>4</v>
      </c>
      <c r="B7" t="s">
        <v>5</v>
      </c>
      <c r="C7" t="s">
        <v>19</v>
      </c>
      <c r="D7">
        <f t="shared" si="1"/>
        <v>10068</v>
      </c>
      <c r="E7">
        <f t="shared" si="0"/>
        <v>6.9916666666666663</v>
      </c>
    </row>
    <row r="8" spans="1:6" x14ac:dyDescent="0.35">
      <c r="A8" t="s">
        <v>4</v>
      </c>
      <c r="B8" t="s">
        <v>5</v>
      </c>
      <c r="C8" t="s">
        <v>26</v>
      </c>
      <c r="D8">
        <f t="shared" si="1"/>
        <v>1389</v>
      </c>
      <c r="E8">
        <f t="shared" si="0"/>
        <v>0.96458333333333335</v>
      </c>
    </row>
    <row r="9" spans="1:6" x14ac:dyDescent="0.35">
      <c r="A9" t="s">
        <v>4</v>
      </c>
      <c r="B9" t="s">
        <v>5</v>
      </c>
      <c r="C9" t="s">
        <v>38</v>
      </c>
      <c r="D9">
        <f t="shared" si="1"/>
        <v>1409</v>
      </c>
      <c r="E9">
        <f t="shared" si="0"/>
        <v>0.97847222222222219</v>
      </c>
    </row>
    <row r="10" spans="1:6" x14ac:dyDescent="0.35">
      <c r="A10" t="s">
        <v>4</v>
      </c>
      <c r="B10" t="s">
        <v>5</v>
      </c>
      <c r="C10" t="s">
        <v>40</v>
      </c>
      <c r="D10">
        <f t="shared" si="1"/>
        <v>1265</v>
      </c>
      <c r="E10">
        <f t="shared" si="0"/>
        <v>0.87847222222222221</v>
      </c>
    </row>
    <row r="11" spans="1:6" x14ac:dyDescent="0.35">
      <c r="A11" t="s">
        <v>4</v>
      </c>
      <c r="B11" t="s">
        <v>5</v>
      </c>
      <c r="C11" t="s">
        <v>44</v>
      </c>
      <c r="D11">
        <f t="shared" si="1"/>
        <v>1218</v>
      </c>
      <c r="E11">
        <f t="shared" si="0"/>
        <v>0.84583333333333333</v>
      </c>
    </row>
    <row r="12" spans="1:6" x14ac:dyDescent="0.35">
      <c r="A12" t="s">
        <v>4</v>
      </c>
      <c r="B12" t="s">
        <v>5</v>
      </c>
      <c r="C12" t="s">
        <v>48</v>
      </c>
      <c r="D12">
        <f t="shared" si="1"/>
        <v>1182</v>
      </c>
      <c r="E12">
        <f t="shared" si="0"/>
        <v>0.8208333333333333</v>
      </c>
    </row>
    <row r="13" spans="1:6" x14ac:dyDescent="0.35">
      <c r="A13" t="s">
        <v>4</v>
      </c>
      <c r="B13" t="s">
        <v>5</v>
      </c>
      <c r="C13" t="s">
        <v>50</v>
      </c>
      <c r="D13">
        <f t="shared" si="1"/>
        <v>1179</v>
      </c>
      <c r="E13">
        <f t="shared" si="0"/>
        <v>0.81874999999999998</v>
      </c>
    </row>
    <row r="14" spans="1:6" x14ac:dyDescent="0.35">
      <c r="A14" t="s">
        <v>4</v>
      </c>
      <c r="B14" t="s">
        <v>5</v>
      </c>
      <c r="C14" t="s">
        <v>54</v>
      </c>
      <c r="D14">
        <f t="shared" si="1"/>
        <v>49834</v>
      </c>
      <c r="E14">
        <f t="shared" si="0"/>
        <v>34.606944444444444</v>
      </c>
    </row>
    <row r="15" spans="1:6" x14ac:dyDescent="0.35">
      <c r="A15" t="s">
        <v>4</v>
      </c>
      <c r="B15" t="s">
        <v>5</v>
      </c>
      <c r="C15" t="s">
        <v>56</v>
      </c>
      <c r="D15">
        <f t="shared" si="1"/>
        <v>29515</v>
      </c>
      <c r="E15">
        <f t="shared" si="0"/>
        <v>20.496527777777779</v>
      </c>
    </row>
    <row r="16" spans="1:6" x14ac:dyDescent="0.35">
      <c r="A16" t="s">
        <v>4</v>
      </c>
      <c r="B16" t="s">
        <v>5</v>
      </c>
      <c r="C16" t="s">
        <v>60</v>
      </c>
      <c r="D16">
        <f t="shared" si="1"/>
        <v>864</v>
      </c>
      <c r="E16">
        <f t="shared" si="0"/>
        <v>0.6</v>
      </c>
    </row>
    <row r="17" spans="1:5" x14ac:dyDescent="0.35">
      <c r="A17" t="s">
        <v>4</v>
      </c>
      <c r="B17" t="s">
        <v>5</v>
      </c>
      <c r="C17" t="s">
        <v>62</v>
      </c>
      <c r="D17">
        <f t="shared" si="1"/>
        <v>847</v>
      </c>
      <c r="E17">
        <f t="shared" si="0"/>
        <v>0.58819444444444446</v>
      </c>
    </row>
    <row r="18" spans="1:5" x14ac:dyDescent="0.35">
      <c r="A18" t="s">
        <v>4</v>
      </c>
      <c r="B18" t="s">
        <v>5</v>
      </c>
      <c r="C18" t="s">
        <v>68</v>
      </c>
      <c r="D18">
        <f t="shared" si="1"/>
        <v>5494</v>
      </c>
      <c r="E18">
        <f t="shared" si="0"/>
        <v>3.8152777777777778</v>
      </c>
    </row>
    <row r="19" spans="1:5" x14ac:dyDescent="0.35">
      <c r="A19" t="s">
        <v>4</v>
      </c>
      <c r="B19" t="s">
        <v>5</v>
      </c>
      <c r="C19" t="s">
        <v>70</v>
      </c>
      <c r="D19">
        <f t="shared" si="1"/>
        <v>5493</v>
      </c>
      <c r="E19">
        <f t="shared" si="0"/>
        <v>3.8145833333333332</v>
      </c>
    </row>
    <row r="20" spans="1:5" x14ac:dyDescent="0.35">
      <c r="A20" t="s">
        <v>4</v>
      </c>
      <c r="B20" t="s">
        <v>5</v>
      </c>
      <c r="C20" t="s">
        <v>72</v>
      </c>
      <c r="D20">
        <f t="shared" si="1"/>
        <v>5492</v>
      </c>
      <c r="E20">
        <f t="shared" si="0"/>
        <v>3.8138888888888891</v>
      </c>
    </row>
    <row r="21" spans="1:5" x14ac:dyDescent="0.35">
      <c r="A21" t="s">
        <v>4</v>
      </c>
      <c r="B21" t="s">
        <v>5</v>
      </c>
      <c r="C21" t="s">
        <v>73</v>
      </c>
      <c r="D21">
        <f t="shared" si="1"/>
        <v>5484</v>
      </c>
      <c r="E21">
        <f t="shared" si="0"/>
        <v>3.8083333333333331</v>
      </c>
    </row>
    <row r="22" spans="1:5" x14ac:dyDescent="0.35">
      <c r="A22" t="s">
        <v>4</v>
      </c>
      <c r="B22" t="s">
        <v>5</v>
      </c>
      <c r="C22" t="s">
        <v>77</v>
      </c>
      <c r="D22">
        <f t="shared" si="1"/>
        <v>5457</v>
      </c>
      <c r="E22">
        <f t="shared" si="0"/>
        <v>3.7895833333333333</v>
      </c>
    </row>
    <row r="23" spans="1:5" x14ac:dyDescent="0.35">
      <c r="A23" t="s">
        <v>4</v>
      </c>
      <c r="B23" t="s">
        <v>5</v>
      </c>
      <c r="C23" t="s">
        <v>79</v>
      </c>
      <c r="D23">
        <f t="shared" si="1"/>
        <v>5449</v>
      </c>
      <c r="E23">
        <f t="shared" si="0"/>
        <v>3.7840277777777778</v>
      </c>
    </row>
    <row r="24" spans="1:5" x14ac:dyDescent="0.35">
      <c r="A24" t="s">
        <v>4</v>
      </c>
      <c r="B24" t="s">
        <v>5</v>
      </c>
      <c r="C24" t="s">
        <v>81</v>
      </c>
      <c r="D24">
        <f t="shared" si="1"/>
        <v>5448</v>
      </c>
      <c r="E24">
        <f t="shared" si="0"/>
        <v>3.7833333333333332</v>
      </c>
    </row>
    <row r="25" spans="1:5" x14ac:dyDescent="0.35">
      <c r="A25" t="s">
        <v>4</v>
      </c>
      <c r="B25" t="s">
        <v>5</v>
      </c>
      <c r="C25" t="s">
        <v>83</v>
      </c>
      <c r="D25">
        <f t="shared" si="1"/>
        <v>5422</v>
      </c>
      <c r="E25">
        <f t="shared" si="0"/>
        <v>3.7652777777777779</v>
      </c>
    </row>
    <row r="26" spans="1:5" x14ac:dyDescent="0.35">
      <c r="A26" t="s">
        <v>4</v>
      </c>
      <c r="B26" t="s">
        <v>5</v>
      </c>
      <c r="C26" t="s">
        <v>89</v>
      </c>
      <c r="D26">
        <f t="shared" si="1"/>
        <v>794</v>
      </c>
      <c r="E26">
        <f t="shared" si="0"/>
        <v>0.55138888888888893</v>
      </c>
    </row>
    <row r="27" spans="1:5" x14ac:dyDescent="0.35">
      <c r="A27" t="s">
        <v>4</v>
      </c>
      <c r="B27" t="s">
        <v>5</v>
      </c>
      <c r="C27" t="s">
        <v>93</v>
      </c>
      <c r="D27">
        <f t="shared" si="1"/>
        <v>323</v>
      </c>
      <c r="E27">
        <f t="shared" si="0"/>
        <v>0.22430555555555556</v>
      </c>
    </row>
    <row r="28" spans="1:5" x14ac:dyDescent="0.35">
      <c r="A28" t="s">
        <v>4</v>
      </c>
      <c r="B28" t="s">
        <v>5</v>
      </c>
      <c r="C28" t="s">
        <v>95</v>
      </c>
      <c r="D28">
        <f t="shared" si="1"/>
        <v>291</v>
      </c>
      <c r="E28">
        <f t="shared" si="0"/>
        <v>0.20208333333333334</v>
      </c>
    </row>
    <row r="29" spans="1:5" x14ac:dyDescent="0.35">
      <c r="A29" t="s">
        <v>4</v>
      </c>
      <c r="B29" t="s">
        <v>5</v>
      </c>
      <c r="C29" t="s">
        <v>97</v>
      </c>
      <c r="D29">
        <f t="shared" si="1"/>
        <v>280</v>
      </c>
      <c r="E29">
        <f t="shared" si="0"/>
        <v>0.19444444444444445</v>
      </c>
    </row>
    <row r="30" spans="1:5" x14ac:dyDescent="0.35">
      <c r="A30" t="s">
        <v>4</v>
      </c>
      <c r="B30" t="s">
        <v>5</v>
      </c>
      <c r="C30" t="s">
        <v>99</v>
      </c>
      <c r="D30">
        <f t="shared" si="1"/>
        <v>30526</v>
      </c>
      <c r="E30">
        <f t="shared" si="0"/>
        <v>21.198611111111113</v>
      </c>
    </row>
    <row r="31" spans="1:5" x14ac:dyDescent="0.35">
      <c r="A31" t="s">
        <v>4</v>
      </c>
      <c r="B31" t="s">
        <v>5</v>
      </c>
      <c r="C31" t="s">
        <v>101</v>
      </c>
      <c r="D31">
        <f t="shared" si="1"/>
        <v>30501</v>
      </c>
      <c r="E31">
        <f t="shared" si="0"/>
        <v>21.181249999999999</v>
      </c>
    </row>
    <row r="32" spans="1:5" x14ac:dyDescent="0.35">
      <c r="A32" t="s">
        <v>4</v>
      </c>
      <c r="B32" t="s">
        <v>5</v>
      </c>
      <c r="C32" t="s">
        <v>103</v>
      </c>
      <c r="D32">
        <f t="shared" si="1"/>
        <v>30285</v>
      </c>
      <c r="E32">
        <f t="shared" si="0"/>
        <v>21.03125</v>
      </c>
    </row>
    <row r="33" spans="1:5" x14ac:dyDescent="0.35">
      <c r="A33" t="s">
        <v>4</v>
      </c>
      <c r="B33" t="s">
        <v>5</v>
      </c>
      <c r="C33" t="s">
        <v>105</v>
      </c>
      <c r="D33">
        <f t="shared" si="1"/>
        <v>30280</v>
      </c>
      <c r="E33">
        <f t="shared" si="0"/>
        <v>21.027777777777779</v>
      </c>
    </row>
    <row r="34" spans="1:5" x14ac:dyDescent="0.35">
      <c r="A34" t="s">
        <v>4</v>
      </c>
      <c r="B34" t="s">
        <v>5</v>
      </c>
      <c r="C34" t="s">
        <v>107</v>
      </c>
      <c r="D34">
        <f t="shared" si="1"/>
        <v>30219</v>
      </c>
      <c r="E34">
        <f t="shared" si="0"/>
        <v>20.985416666666666</v>
      </c>
    </row>
    <row r="35" spans="1:5" x14ac:dyDescent="0.35">
      <c r="A35" t="s">
        <v>4</v>
      </c>
      <c r="B35" t="s">
        <v>5</v>
      </c>
      <c r="C35" t="s">
        <v>109</v>
      </c>
      <c r="D35">
        <f t="shared" si="1"/>
        <v>30128</v>
      </c>
      <c r="E35">
        <f t="shared" si="0"/>
        <v>20.922222222222221</v>
      </c>
    </row>
    <row r="36" spans="1:5" x14ac:dyDescent="0.35">
      <c r="A36" t="s">
        <v>4</v>
      </c>
      <c r="B36" t="s">
        <v>5</v>
      </c>
      <c r="C36" t="s">
        <v>111</v>
      </c>
      <c r="D36">
        <f t="shared" si="1"/>
        <v>30033</v>
      </c>
      <c r="E36">
        <f t="shared" si="0"/>
        <v>20.856249999999999</v>
      </c>
    </row>
    <row r="37" spans="1:5" x14ac:dyDescent="0.35">
      <c r="A37" t="s">
        <v>4</v>
      </c>
      <c r="B37" t="s">
        <v>5</v>
      </c>
      <c r="C37" t="s">
        <v>113</v>
      </c>
      <c r="D37">
        <f t="shared" si="1"/>
        <v>29994</v>
      </c>
      <c r="E37">
        <f t="shared" si="0"/>
        <v>20.829166666666666</v>
      </c>
    </row>
    <row r="38" spans="1:5" x14ac:dyDescent="0.35">
      <c r="A38" t="s">
        <v>4</v>
      </c>
      <c r="B38" t="s">
        <v>5</v>
      </c>
      <c r="C38" t="s">
        <v>115</v>
      </c>
      <c r="D38">
        <f t="shared" si="1"/>
        <v>29804</v>
      </c>
      <c r="E38">
        <f t="shared" si="0"/>
        <v>20.697222222222223</v>
      </c>
    </row>
    <row r="39" spans="1:5" x14ac:dyDescent="0.35">
      <c r="A39" t="s">
        <v>4</v>
      </c>
      <c r="B39" t="s">
        <v>5</v>
      </c>
      <c r="C39" t="s">
        <v>117</v>
      </c>
      <c r="D39">
        <f t="shared" si="1"/>
        <v>29264</v>
      </c>
      <c r="E39">
        <f t="shared" si="0"/>
        <v>20.322222222222223</v>
      </c>
    </row>
    <row r="40" spans="1:5" x14ac:dyDescent="0.35">
      <c r="A40" t="s">
        <v>4</v>
      </c>
      <c r="B40" t="s">
        <v>5</v>
      </c>
      <c r="C40" t="s">
        <v>119</v>
      </c>
      <c r="D40">
        <f t="shared" si="1"/>
        <v>646</v>
      </c>
      <c r="E40">
        <f t="shared" si="0"/>
        <v>0.44861111111111113</v>
      </c>
    </row>
    <row r="41" spans="1:5" x14ac:dyDescent="0.35">
      <c r="A41" t="s">
        <v>4</v>
      </c>
      <c r="B41" t="s">
        <v>5</v>
      </c>
      <c r="C41" t="s">
        <v>128</v>
      </c>
      <c r="D41">
        <f t="shared" si="1"/>
        <v>14635</v>
      </c>
      <c r="E41">
        <f t="shared" si="0"/>
        <v>10.163194444444445</v>
      </c>
    </row>
    <row r="42" spans="1:5" x14ac:dyDescent="0.35">
      <c r="A42" t="s">
        <v>4</v>
      </c>
      <c r="B42" t="s">
        <v>5</v>
      </c>
      <c r="C42" t="s">
        <v>130</v>
      </c>
      <c r="D42">
        <f t="shared" si="1"/>
        <v>14214</v>
      </c>
      <c r="E42">
        <f t="shared" si="0"/>
        <v>9.8708333333333336</v>
      </c>
    </row>
    <row r="43" spans="1:5" x14ac:dyDescent="0.35">
      <c r="A43" t="s">
        <v>4</v>
      </c>
      <c r="B43" t="s">
        <v>5</v>
      </c>
      <c r="C43" t="s">
        <v>132</v>
      </c>
      <c r="D43">
        <f t="shared" si="1"/>
        <v>13908</v>
      </c>
      <c r="E43">
        <f t="shared" si="0"/>
        <v>9.6583333333333332</v>
      </c>
    </row>
    <row r="44" spans="1:5" x14ac:dyDescent="0.35">
      <c r="A44" t="s">
        <v>4</v>
      </c>
      <c r="B44" t="s">
        <v>5</v>
      </c>
      <c r="C44" t="s">
        <v>134</v>
      </c>
      <c r="D44">
        <f t="shared" si="1"/>
        <v>13768</v>
      </c>
      <c r="E44">
        <f t="shared" si="0"/>
        <v>9.5611111111111118</v>
      </c>
    </row>
    <row r="45" spans="1:5" x14ac:dyDescent="0.35">
      <c r="A45" t="s">
        <v>4</v>
      </c>
      <c r="B45" t="s">
        <v>5</v>
      </c>
      <c r="C45" t="s">
        <v>136</v>
      </c>
      <c r="D45">
        <f t="shared" si="1"/>
        <v>13630</v>
      </c>
      <c r="E45">
        <f t="shared" si="0"/>
        <v>9.4652777777777786</v>
      </c>
    </row>
    <row r="46" spans="1:5" x14ac:dyDescent="0.35">
      <c r="A46" t="s">
        <v>4</v>
      </c>
      <c r="B46" t="s">
        <v>5</v>
      </c>
      <c r="C46" t="s">
        <v>140</v>
      </c>
      <c r="D46">
        <f t="shared" si="1"/>
        <v>13092</v>
      </c>
      <c r="E46">
        <f t="shared" si="0"/>
        <v>9.0916666666666668</v>
      </c>
    </row>
    <row r="47" spans="1:5" x14ac:dyDescent="0.35">
      <c r="A47" t="s">
        <v>4</v>
      </c>
      <c r="B47" t="s">
        <v>5</v>
      </c>
      <c r="C47" t="s">
        <v>144</v>
      </c>
      <c r="D47">
        <f t="shared" si="1"/>
        <v>10645</v>
      </c>
      <c r="E47">
        <f t="shared" si="0"/>
        <v>7.3923611111111107</v>
      </c>
    </row>
    <row r="48" spans="1:5" x14ac:dyDescent="0.35">
      <c r="A48" t="s">
        <v>4</v>
      </c>
      <c r="B48" t="s">
        <v>5</v>
      </c>
      <c r="C48" t="s">
        <v>146</v>
      </c>
      <c r="D48">
        <f t="shared" si="1"/>
        <v>10194</v>
      </c>
      <c r="E48">
        <f t="shared" si="0"/>
        <v>7.0791666666666666</v>
      </c>
    </row>
    <row r="49" spans="1:5" x14ac:dyDescent="0.35">
      <c r="A49" t="s">
        <v>4</v>
      </c>
      <c r="B49" t="s">
        <v>5</v>
      </c>
      <c r="C49" t="s">
        <v>152</v>
      </c>
      <c r="D49">
        <f t="shared" si="1"/>
        <v>31472</v>
      </c>
      <c r="E49">
        <f t="shared" si="0"/>
        <v>21.855555555555554</v>
      </c>
    </row>
    <row r="50" spans="1:5" x14ac:dyDescent="0.35">
      <c r="A50" t="s">
        <v>4</v>
      </c>
      <c r="B50" t="s">
        <v>5</v>
      </c>
      <c r="C50" t="s">
        <v>154</v>
      </c>
      <c r="D50">
        <f t="shared" si="1"/>
        <v>31468</v>
      </c>
      <c r="E50">
        <f t="shared" si="0"/>
        <v>21.852777777777778</v>
      </c>
    </row>
    <row r="51" spans="1:5" x14ac:dyDescent="0.35">
      <c r="A51" t="s">
        <v>4</v>
      </c>
      <c r="B51" t="s">
        <v>5</v>
      </c>
      <c r="C51" t="s">
        <v>160</v>
      </c>
      <c r="D51">
        <f t="shared" si="1"/>
        <v>11017</v>
      </c>
      <c r="E51">
        <f t="shared" si="0"/>
        <v>7.6506944444444445</v>
      </c>
    </row>
    <row r="52" spans="1:5" x14ac:dyDescent="0.35">
      <c r="A52" t="s">
        <v>4</v>
      </c>
      <c r="B52" t="s">
        <v>5</v>
      </c>
      <c r="C52" t="s">
        <v>164</v>
      </c>
      <c r="D52">
        <f t="shared" si="1"/>
        <v>583</v>
      </c>
      <c r="E52">
        <f t="shared" si="0"/>
        <v>0.40486111111111112</v>
      </c>
    </row>
    <row r="53" spans="1:5" x14ac:dyDescent="0.35">
      <c r="A53" t="s">
        <v>4</v>
      </c>
      <c r="B53" t="s">
        <v>5</v>
      </c>
      <c r="C53" t="s">
        <v>166</v>
      </c>
      <c r="D53">
        <f t="shared" si="1"/>
        <v>428</v>
      </c>
      <c r="E53">
        <f t="shared" si="0"/>
        <v>0.29722222222222222</v>
      </c>
    </row>
    <row r="54" spans="1:5" x14ac:dyDescent="0.35">
      <c r="A54" t="s">
        <v>4</v>
      </c>
      <c r="B54" t="s">
        <v>5</v>
      </c>
      <c r="C54" t="s">
        <v>168</v>
      </c>
      <c r="D54">
        <f t="shared" si="1"/>
        <v>251</v>
      </c>
      <c r="E54">
        <f t="shared" si="0"/>
        <v>0.17430555555555555</v>
      </c>
    </row>
    <row r="55" spans="1:5" x14ac:dyDescent="0.35">
      <c r="A55" t="s">
        <v>4</v>
      </c>
      <c r="B55" t="s">
        <v>5</v>
      </c>
      <c r="C55" t="s">
        <v>174</v>
      </c>
      <c r="D55">
        <f t="shared" si="1"/>
        <v>11279</v>
      </c>
      <c r="E55">
        <f t="shared" si="0"/>
        <v>7.8326388888888889</v>
      </c>
    </row>
    <row r="56" spans="1:5" x14ac:dyDescent="0.35">
      <c r="A56" t="s">
        <v>4</v>
      </c>
      <c r="B56" t="s">
        <v>5</v>
      </c>
      <c r="C56" t="s">
        <v>176</v>
      </c>
      <c r="D56">
        <f t="shared" si="1"/>
        <v>10266</v>
      </c>
      <c r="E56">
        <f t="shared" si="0"/>
        <v>7.1291666666666664</v>
      </c>
    </row>
    <row r="57" spans="1:5" x14ac:dyDescent="0.35">
      <c r="A57" t="s">
        <v>4</v>
      </c>
      <c r="B57" t="s">
        <v>5</v>
      </c>
      <c r="C57" t="s">
        <v>178</v>
      </c>
      <c r="D57">
        <f t="shared" si="1"/>
        <v>184</v>
      </c>
      <c r="E57">
        <f t="shared" si="0"/>
        <v>0.12777777777777777</v>
      </c>
    </row>
    <row r="58" spans="1:5" x14ac:dyDescent="0.35">
      <c r="A58" t="s">
        <v>4</v>
      </c>
      <c r="B58" t="s">
        <v>5</v>
      </c>
      <c r="C58" t="s">
        <v>184</v>
      </c>
      <c r="D58">
        <f t="shared" si="1"/>
        <v>11824</v>
      </c>
      <c r="E58">
        <f t="shared" si="0"/>
        <v>8.2111111111111104</v>
      </c>
    </row>
    <row r="59" spans="1:5" x14ac:dyDescent="0.35">
      <c r="A59" t="s">
        <v>4</v>
      </c>
      <c r="B59" t="s">
        <v>5</v>
      </c>
      <c r="C59" t="s">
        <v>186</v>
      </c>
      <c r="D59">
        <f t="shared" si="1"/>
        <v>15887</v>
      </c>
      <c r="E59">
        <f t="shared" si="0"/>
        <v>11.032638888888888</v>
      </c>
    </row>
    <row r="60" spans="1:5" x14ac:dyDescent="0.35">
      <c r="A60" t="s">
        <v>4</v>
      </c>
      <c r="B60" t="s">
        <v>5</v>
      </c>
      <c r="C60" t="s">
        <v>188</v>
      </c>
      <c r="D60">
        <f t="shared" si="1"/>
        <v>787</v>
      </c>
      <c r="E60">
        <f t="shared" si="0"/>
        <v>0.54652777777777772</v>
      </c>
    </row>
    <row r="61" spans="1:5" x14ac:dyDescent="0.35">
      <c r="A61" t="s">
        <v>4</v>
      </c>
      <c r="B61" t="s">
        <v>5</v>
      </c>
      <c r="C61" t="s">
        <v>190</v>
      </c>
      <c r="D61">
        <f t="shared" si="1"/>
        <v>749</v>
      </c>
      <c r="E61">
        <f t="shared" si="0"/>
        <v>0.52013888888888893</v>
      </c>
    </row>
    <row r="62" spans="1:5" x14ac:dyDescent="0.35">
      <c r="A62" t="s">
        <v>4</v>
      </c>
      <c r="B62" t="s">
        <v>5</v>
      </c>
      <c r="C62" t="s">
        <v>192</v>
      </c>
      <c r="D62">
        <f t="shared" si="1"/>
        <v>639</v>
      </c>
      <c r="E62">
        <f t="shared" si="0"/>
        <v>0.44374999999999998</v>
      </c>
    </row>
    <row r="63" spans="1:5" x14ac:dyDescent="0.35">
      <c r="A63" t="s">
        <v>4</v>
      </c>
      <c r="B63" t="s">
        <v>5</v>
      </c>
      <c r="C63" t="s">
        <v>202</v>
      </c>
      <c r="D63">
        <f t="shared" si="1"/>
        <v>407</v>
      </c>
      <c r="E63">
        <f t="shared" si="0"/>
        <v>0.28263888888888888</v>
      </c>
    </row>
    <row r="64" spans="1:5" x14ac:dyDescent="0.35">
      <c r="A64" t="s">
        <v>4</v>
      </c>
      <c r="B64" t="s">
        <v>5</v>
      </c>
      <c r="C64" t="s">
        <v>212</v>
      </c>
      <c r="D64">
        <f t="shared" si="1"/>
        <v>15579</v>
      </c>
      <c r="E64">
        <f t="shared" si="0"/>
        <v>10.81875</v>
      </c>
    </row>
    <row r="65" spans="1:5" x14ac:dyDescent="0.35">
      <c r="A65" t="s">
        <v>4</v>
      </c>
      <c r="B65" t="s">
        <v>5</v>
      </c>
      <c r="C65" t="s">
        <v>214</v>
      </c>
      <c r="D65">
        <f t="shared" si="1"/>
        <v>15177</v>
      </c>
      <c r="E65">
        <f t="shared" si="0"/>
        <v>10.539583333333333</v>
      </c>
    </row>
    <row r="66" spans="1:5" x14ac:dyDescent="0.35">
      <c r="A66" t="s">
        <v>4</v>
      </c>
      <c r="B66" t="s">
        <v>5</v>
      </c>
      <c r="C66" t="s">
        <v>218</v>
      </c>
      <c r="D66">
        <f t="shared" si="1"/>
        <v>14961</v>
      </c>
      <c r="E66">
        <f t="shared" si="0"/>
        <v>10.389583333333333</v>
      </c>
    </row>
    <row r="67" spans="1:5" x14ac:dyDescent="0.35">
      <c r="A67" t="s">
        <v>4</v>
      </c>
      <c r="B67" t="s">
        <v>5</v>
      </c>
      <c r="C67" t="s">
        <v>220</v>
      </c>
      <c r="D67">
        <f t="shared" si="1"/>
        <v>13962</v>
      </c>
      <c r="E67">
        <f t="shared" ref="E67:E101" si="2">D67/1440</f>
        <v>9.6958333333333329</v>
      </c>
    </row>
    <row r="68" spans="1:5" x14ac:dyDescent="0.35">
      <c r="A68" t="s">
        <v>4</v>
      </c>
      <c r="B68" t="s">
        <v>5</v>
      </c>
      <c r="C68" t="s">
        <v>119</v>
      </c>
      <c r="D68">
        <f t="shared" si="1"/>
        <v>646</v>
      </c>
      <c r="E68">
        <f t="shared" si="2"/>
        <v>0.44861111111111113</v>
      </c>
    </row>
    <row r="69" spans="1:5" x14ac:dyDescent="0.35">
      <c r="A69" t="s">
        <v>4</v>
      </c>
      <c r="B69" t="s">
        <v>5</v>
      </c>
      <c r="C69" t="s">
        <v>99</v>
      </c>
      <c r="D69">
        <f t="shared" si="1"/>
        <v>30526</v>
      </c>
      <c r="E69">
        <f t="shared" si="2"/>
        <v>21.198611111111113</v>
      </c>
    </row>
    <row r="70" spans="1:5" x14ac:dyDescent="0.35">
      <c r="A70" t="s">
        <v>4</v>
      </c>
      <c r="B70" t="s">
        <v>5</v>
      </c>
      <c r="C70" t="s">
        <v>101</v>
      </c>
      <c r="D70">
        <f t="shared" ref="D70:D101" si="3">INT((DATE(MID(C70,1,4),MID(C70,6,2),MID(C70,9,2))+TIME(MID(C70,12,2),MID(C70,15,2),MID(C70,18,2))-$F$2)*1440)</f>
        <v>30501</v>
      </c>
      <c r="E70">
        <f t="shared" si="2"/>
        <v>21.181249999999999</v>
      </c>
    </row>
    <row r="71" spans="1:5" x14ac:dyDescent="0.35">
      <c r="A71" t="s">
        <v>4</v>
      </c>
      <c r="B71" t="s">
        <v>5</v>
      </c>
      <c r="C71" t="s">
        <v>103</v>
      </c>
      <c r="D71">
        <f t="shared" si="3"/>
        <v>30285</v>
      </c>
      <c r="E71">
        <f t="shared" si="2"/>
        <v>21.03125</v>
      </c>
    </row>
    <row r="72" spans="1:5" x14ac:dyDescent="0.35">
      <c r="A72" t="s">
        <v>4</v>
      </c>
      <c r="B72" t="s">
        <v>5</v>
      </c>
      <c r="C72" t="s">
        <v>105</v>
      </c>
      <c r="D72">
        <f t="shared" si="3"/>
        <v>30280</v>
      </c>
      <c r="E72">
        <f t="shared" si="2"/>
        <v>21.027777777777779</v>
      </c>
    </row>
    <row r="73" spans="1:5" x14ac:dyDescent="0.35">
      <c r="A73" t="s">
        <v>4</v>
      </c>
      <c r="B73" t="s">
        <v>5</v>
      </c>
      <c r="C73" t="s">
        <v>107</v>
      </c>
      <c r="D73">
        <f t="shared" si="3"/>
        <v>30219</v>
      </c>
      <c r="E73">
        <f t="shared" si="2"/>
        <v>20.985416666666666</v>
      </c>
    </row>
    <row r="74" spans="1:5" x14ac:dyDescent="0.35">
      <c r="A74" t="s">
        <v>4</v>
      </c>
      <c r="B74" t="s">
        <v>5</v>
      </c>
      <c r="C74" t="s">
        <v>109</v>
      </c>
      <c r="D74">
        <f t="shared" si="3"/>
        <v>30128</v>
      </c>
      <c r="E74">
        <f t="shared" si="2"/>
        <v>20.922222222222221</v>
      </c>
    </row>
    <row r="75" spans="1:5" x14ac:dyDescent="0.35">
      <c r="A75" t="s">
        <v>4</v>
      </c>
      <c r="B75" t="s">
        <v>5</v>
      </c>
      <c r="C75" t="s">
        <v>111</v>
      </c>
      <c r="D75">
        <f t="shared" si="3"/>
        <v>30033</v>
      </c>
      <c r="E75">
        <f t="shared" si="2"/>
        <v>20.856249999999999</v>
      </c>
    </row>
    <row r="76" spans="1:5" x14ac:dyDescent="0.35">
      <c r="A76" t="s">
        <v>4</v>
      </c>
      <c r="B76" t="s">
        <v>5</v>
      </c>
      <c r="C76" t="s">
        <v>113</v>
      </c>
      <c r="D76">
        <f t="shared" si="3"/>
        <v>29994</v>
      </c>
      <c r="E76">
        <f t="shared" si="2"/>
        <v>20.829166666666666</v>
      </c>
    </row>
    <row r="77" spans="1:5" x14ac:dyDescent="0.35">
      <c r="A77" t="s">
        <v>4</v>
      </c>
      <c r="B77" t="s">
        <v>5</v>
      </c>
      <c r="C77" t="s">
        <v>115</v>
      </c>
      <c r="D77">
        <f t="shared" si="3"/>
        <v>29804</v>
      </c>
      <c r="E77">
        <f t="shared" si="2"/>
        <v>20.697222222222223</v>
      </c>
    </row>
    <row r="78" spans="1:5" x14ac:dyDescent="0.35">
      <c r="A78" t="s">
        <v>4</v>
      </c>
      <c r="B78" t="s">
        <v>5</v>
      </c>
      <c r="C78" t="s">
        <v>117</v>
      </c>
      <c r="D78">
        <f t="shared" si="3"/>
        <v>29264</v>
      </c>
      <c r="E78">
        <f t="shared" si="2"/>
        <v>20.322222222222223</v>
      </c>
    </row>
    <row r="79" spans="1:5" x14ac:dyDescent="0.35">
      <c r="A79" t="s">
        <v>4</v>
      </c>
      <c r="B79" t="s">
        <v>5</v>
      </c>
      <c r="C79" t="s">
        <v>224</v>
      </c>
      <c r="D79">
        <f t="shared" si="3"/>
        <v>14206</v>
      </c>
      <c r="E79">
        <f t="shared" si="2"/>
        <v>9.8652777777777771</v>
      </c>
    </row>
    <row r="80" spans="1:5" x14ac:dyDescent="0.35">
      <c r="A80" t="s">
        <v>4</v>
      </c>
      <c r="B80" t="s">
        <v>5</v>
      </c>
      <c r="C80" t="s">
        <v>226</v>
      </c>
      <c r="D80">
        <f t="shared" si="3"/>
        <v>9852</v>
      </c>
      <c r="E80">
        <f t="shared" si="2"/>
        <v>6.8416666666666668</v>
      </c>
    </row>
    <row r="81" spans="1:5" x14ac:dyDescent="0.35">
      <c r="A81" t="s">
        <v>4</v>
      </c>
      <c r="B81" t="s">
        <v>5</v>
      </c>
      <c r="C81" t="s">
        <v>228</v>
      </c>
      <c r="D81">
        <f t="shared" si="3"/>
        <v>8428</v>
      </c>
      <c r="E81">
        <f t="shared" si="2"/>
        <v>5.8527777777777779</v>
      </c>
    </row>
    <row r="82" spans="1:5" x14ac:dyDescent="0.35">
      <c r="A82" t="s">
        <v>4</v>
      </c>
      <c r="B82" t="s">
        <v>5</v>
      </c>
      <c r="C82" t="s">
        <v>230</v>
      </c>
      <c r="D82">
        <f t="shared" si="3"/>
        <v>6872</v>
      </c>
      <c r="E82">
        <f t="shared" si="2"/>
        <v>4.7722222222222221</v>
      </c>
    </row>
    <row r="83" spans="1:5" x14ac:dyDescent="0.35">
      <c r="A83" t="s">
        <v>4</v>
      </c>
      <c r="B83" t="s">
        <v>5</v>
      </c>
      <c r="C83" t="s">
        <v>232</v>
      </c>
      <c r="D83">
        <f t="shared" si="3"/>
        <v>6194</v>
      </c>
      <c r="E83">
        <f t="shared" si="2"/>
        <v>4.3013888888888889</v>
      </c>
    </row>
    <row r="84" spans="1:5" x14ac:dyDescent="0.35">
      <c r="A84" t="s">
        <v>4</v>
      </c>
      <c r="B84" t="s">
        <v>5</v>
      </c>
      <c r="C84" t="s">
        <v>234</v>
      </c>
      <c r="D84">
        <f t="shared" si="3"/>
        <v>5370</v>
      </c>
      <c r="E84">
        <f t="shared" si="2"/>
        <v>3.7291666666666665</v>
      </c>
    </row>
    <row r="85" spans="1:5" x14ac:dyDescent="0.35">
      <c r="A85" t="s">
        <v>4</v>
      </c>
      <c r="B85" t="s">
        <v>5</v>
      </c>
      <c r="C85" t="s">
        <v>236</v>
      </c>
      <c r="D85">
        <f t="shared" si="3"/>
        <v>5324</v>
      </c>
      <c r="E85">
        <f t="shared" si="2"/>
        <v>3.6972222222222224</v>
      </c>
    </row>
    <row r="86" spans="1:5" x14ac:dyDescent="0.35">
      <c r="A86" t="s">
        <v>4</v>
      </c>
      <c r="B86" t="s">
        <v>5</v>
      </c>
      <c r="C86" t="s">
        <v>54</v>
      </c>
      <c r="D86">
        <f t="shared" si="3"/>
        <v>49834</v>
      </c>
      <c r="E86">
        <f t="shared" si="2"/>
        <v>34.606944444444444</v>
      </c>
    </row>
    <row r="87" spans="1:5" x14ac:dyDescent="0.35">
      <c r="A87" t="s">
        <v>4</v>
      </c>
      <c r="B87" t="s">
        <v>5</v>
      </c>
      <c r="C87" t="s">
        <v>56</v>
      </c>
      <c r="D87">
        <f t="shared" si="3"/>
        <v>29515</v>
      </c>
      <c r="E87">
        <f t="shared" si="2"/>
        <v>20.496527777777779</v>
      </c>
    </row>
    <row r="88" spans="1:5" x14ac:dyDescent="0.35">
      <c r="A88" t="s">
        <v>4</v>
      </c>
      <c r="B88" t="s">
        <v>5</v>
      </c>
      <c r="C88" t="s">
        <v>240</v>
      </c>
      <c r="D88">
        <f t="shared" si="3"/>
        <v>16092</v>
      </c>
      <c r="E88">
        <f t="shared" si="2"/>
        <v>11.175000000000001</v>
      </c>
    </row>
    <row r="89" spans="1:5" x14ac:dyDescent="0.35">
      <c r="A89" t="s">
        <v>4</v>
      </c>
      <c r="B89" t="s">
        <v>5</v>
      </c>
      <c r="C89" t="s">
        <v>242</v>
      </c>
      <c r="D89">
        <f t="shared" si="3"/>
        <v>6897</v>
      </c>
      <c r="E89">
        <f t="shared" si="2"/>
        <v>4.7895833333333337</v>
      </c>
    </row>
    <row r="90" spans="1:5" x14ac:dyDescent="0.35">
      <c r="A90" t="s">
        <v>4</v>
      </c>
      <c r="B90" t="s">
        <v>5</v>
      </c>
      <c r="C90" t="s">
        <v>246</v>
      </c>
      <c r="D90">
        <f t="shared" si="3"/>
        <v>19096</v>
      </c>
      <c r="E90">
        <f t="shared" si="2"/>
        <v>13.261111111111111</v>
      </c>
    </row>
    <row r="91" spans="1:5" x14ac:dyDescent="0.35">
      <c r="A91" t="s">
        <v>4</v>
      </c>
      <c r="B91" t="s">
        <v>5</v>
      </c>
      <c r="C91" t="s">
        <v>248</v>
      </c>
      <c r="D91">
        <f t="shared" si="3"/>
        <v>16657</v>
      </c>
      <c r="E91">
        <f t="shared" si="2"/>
        <v>11.567361111111111</v>
      </c>
    </row>
    <row r="92" spans="1:5" x14ac:dyDescent="0.35">
      <c r="A92" t="s">
        <v>4</v>
      </c>
      <c r="B92" t="s">
        <v>5</v>
      </c>
      <c r="C92" t="s">
        <v>250</v>
      </c>
      <c r="D92">
        <f t="shared" si="3"/>
        <v>12819</v>
      </c>
      <c r="E92">
        <f t="shared" si="2"/>
        <v>8.9020833333333336</v>
      </c>
    </row>
    <row r="93" spans="1:5" x14ac:dyDescent="0.35">
      <c r="A93" t="s">
        <v>4</v>
      </c>
      <c r="B93" t="s">
        <v>5</v>
      </c>
      <c r="C93" t="s">
        <v>252</v>
      </c>
      <c r="D93">
        <f t="shared" si="3"/>
        <v>12700</v>
      </c>
      <c r="E93">
        <f t="shared" si="2"/>
        <v>8.8194444444444446</v>
      </c>
    </row>
    <row r="94" spans="1:5" x14ac:dyDescent="0.35">
      <c r="A94" t="s">
        <v>4</v>
      </c>
      <c r="B94" t="s">
        <v>5</v>
      </c>
      <c r="C94" t="s">
        <v>254</v>
      </c>
      <c r="D94">
        <f t="shared" si="3"/>
        <v>12648</v>
      </c>
      <c r="E94">
        <f t="shared" si="2"/>
        <v>8.7833333333333332</v>
      </c>
    </row>
    <row r="95" spans="1:5" x14ac:dyDescent="0.35">
      <c r="A95" t="s">
        <v>4</v>
      </c>
      <c r="B95" t="s">
        <v>5</v>
      </c>
      <c r="C95" t="s">
        <v>256</v>
      </c>
      <c r="D95">
        <f t="shared" si="3"/>
        <v>12622</v>
      </c>
      <c r="E95">
        <f t="shared" si="2"/>
        <v>8.7652777777777775</v>
      </c>
    </row>
    <row r="96" spans="1:5" x14ac:dyDescent="0.35">
      <c r="A96" t="s">
        <v>4</v>
      </c>
      <c r="B96" t="s">
        <v>5</v>
      </c>
      <c r="C96" t="s">
        <v>258</v>
      </c>
      <c r="D96">
        <f t="shared" si="3"/>
        <v>20080</v>
      </c>
      <c r="E96">
        <f t="shared" si="2"/>
        <v>13.944444444444445</v>
      </c>
    </row>
    <row r="97" spans="1:5" x14ac:dyDescent="0.35">
      <c r="A97" t="s">
        <v>4</v>
      </c>
      <c r="B97" t="s">
        <v>5</v>
      </c>
      <c r="C97" t="s">
        <v>260</v>
      </c>
      <c r="D97">
        <f t="shared" si="3"/>
        <v>15375</v>
      </c>
      <c r="E97">
        <f t="shared" si="2"/>
        <v>10.677083333333334</v>
      </c>
    </row>
    <row r="98" spans="1:5" x14ac:dyDescent="0.35">
      <c r="A98" t="s">
        <v>4</v>
      </c>
      <c r="B98" t="s">
        <v>5</v>
      </c>
      <c r="C98" t="s">
        <v>262</v>
      </c>
      <c r="D98">
        <f t="shared" si="3"/>
        <v>13493</v>
      </c>
      <c r="E98">
        <f t="shared" si="2"/>
        <v>9.3701388888888886</v>
      </c>
    </row>
    <row r="99" spans="1:5" x14ac:dyDescent="0.35">
      <c r="A99" t="s">
        <v>4</v>
      </c>
      <c r="B99" t="s">
        <v>5</v>
      </c>
      <c r="C99" t="s">
        <v>264</v>
      </c>
      <c r="D99">
        <f t="shared" si="3"/>
        <v>12332</v>
      </c>
      <c r="E99">
        <f t="shared" si="2"/>
        <v>8.5638888888888882</v>
      </c>
    </row>
    <row r="100" spans="1:5" x14ac:dyDescent="0.35">
      <c r="A100" t="s">
        <v>4</v>
      </c>
      <c r="B100" t="s">
        <v>5</v>
      </c>
      <c r="C100" t="s">
        <v>266</v>
      </c>
      <c r="D100">
        <f t="shared" si="3"/>
        <v>10653</v>
      </c>
      <c r="E100">
        <f t="shared" si="2"/>
        <v>7.3979166666666663</v>
      </c>
    </row>
    <row r="101" spans="1:5" x14ac:dyDescent="0.35">
      <c r="A101" t="s">
        <v>4</v>
      </c>
      <c r="B101" t="s">
        <v>5</v>
      </c>
      <c r="C101" t="s">
        <v>270</v>
      </c>
      <c r="D101">
        <f t="shared" si="3"/>
        <v>4065</v>
      </c>
      <c r="E101">
        <f t="shared" si="2"/>
        <v>2.8229166666666665</v>
      </c>
    </row>
    <row r="139" spans="1:3" x14ac:dyDescent="0.35">
      <c r="A139" t="s">
        <v>4</v>
      </c>
      <c r="B139" t="s">
        <v>5</v>
      </c>
      <c r="C139" t="s">
        <v>381</v>
      </c>
    </row>
    <row r="157" spans="1:3" x14ac:dyDescent="0.35">
      <c r="A157" t="s">
        <v>4</v>
      </c>
      <c r="B157" t="s">
        <v>5</v>
      </c>
      <c r="C157" t="s">
        <v>427</v>
      </c>
    </row>
    <row r="163" spans="1:3" x14ac:dyDescent="0.35">
      <c r="A163" t="s">
        <v>4</v>
      </c>
      <c r="B163" t="s">
        <v>5</v>
      </c>
      <c r="C163" t="s">
        <v>443</v>
      </c>
    </row>
    <row r="192" spans="1:3" x14ac:dyDescent="0.35">
      <c r="A192" t="s">
        <v>4</v>
      </c>
      <c r="B192" t="s">
        <v>5</v>
      </c>
      <c r="C192" t="s">
        <v>381</v>
      </c>
    </row>
    <row r="212" spans="1:3" x14ac:dyDescent="0.35">
      <c r="A212" t="s">
        <v>4</v>
      </c>
      <c r="B212" t="s">
        <v>5</v>
      </c>
      <c r="C212" t="s">
        <v>565</v>
      </c>
    </row>
    <row r="213" spans="1:3" x14ac:dyDescent="0.35">
      <c r="A213" t="s">
        <v>4</v>
      </c>
      <c r="B213" t="s">
        <v>5</v>
      </c>
      <c r="C213" t="s">
        <v>571</v>
      </c>
    </row>
    <row r="214" spans="1:3" x14ac:dyDescent="0.35">
      <c r="A214" t="s">
        <v>4</v>
      </c>
      <c r="B214" t="s">
        <v>5</v>
      </c>
      <c r="C214" t="s">
        <v>89</v>
      </c>
    </row>
    <row r="215" spans="1:3" x14ac:dyDescent="0.35">
      <c r="A215" t="s">
        <v>4</v>
      </c>
      <c r="B215" t="s">
        <v>5</v>
      </c>
      <c r="C215" t="s">
        <v>93</v>
      </c>
    </row>
    <row r="216" spans="1:3" x14ac:dyDescent="0.35">
      <c r="A216" t="s">
        <v>4</v>
      </c>
      <c r="B216" t="s">
        <v>5</v>
      </c>
      <c r="C216" t="s">
        <v>95</v>
      </c>
    </row>
    <row r="217" spans="1:3" x14ac:dyDescent="0.35">
      <c r="A217" t="s">
        <v>4</v>
      </c>
      <c r="B217" t="s">
        <v>5</v>
      </c>
      <c r="C217" t="s">
        <v>97</v>
      </c>
    </row>
    <row r="218" spans="1:3" x14ac:dyDescent="0.35">
      <c r="A218" t="s">
        <v>4</v>
      </c>
      <c r="B218" t="s">
        <v>5</v>
      </c>
      <c r="C218" t="s">
        <v>573</v>
      </c>
    </row>
    <row r="219" spans="1:3" x14ac:dyDescent="0.35">
      <c r="A219" t="s">
        <v>4</v>
      </c>
      <c r="B219" t="s">
        <v>5</v>
      </c>
      <c r="C219" t="s">
        <v>577</v>
      </c>
    </row>
    <row r="220" spans="1:3" x14ac:dyDescent="0.35">
      <c r="A220" t="s">
        <v>4</v>
      </c>
      <c r="B220" t="s">
        <v>5</v>
      </c>
      <c r="C220" t="s">
        <v>579</v>
      </c>
    </row>
    <row r="221" spans="1:3" x14ac:dyDescent="0.35">
      <c r="A221" t="s">
        <v>4</v>
      </c>
      <c r="B221" t="s">
        <v>5</v>
      </c>
      <c r="C221" t="s">
        <v>591</v>
      </c>
    </row>
    <row r="222" spans="1:3" x14ac:dyDescent="0.35">
      <c r="A222" t="s">
        <v>4</v>
      </c>
      <c r="B222" t="s">
        <v>5</v>
      </c>
      <c r="C222" t="s">
        <v>595</v>
      </c>
    </row>
    <row r="223" spans="1:3" x14ac:dyDescent="0.35">
      <c r="A223" t="s">
        <v>4</v>
      </c>
      <c r="B223" t="s">
        <v>5</v>
      </c>
      <c r="C223" t="s">
        <v>607</v>
      </c>
    </row>
    <row r="224" spans="1:3" x14ac:dyDescent="0.35">
      <c r="A224" t="s">
        <v>4</v>
      </c>
      <c r="B224" t="s">
        <v>5</v>
      </c>
      <c r="C224" t="s">
        <v>609</v>
      </c>
    </row>
    <row r="225" spans="1:3" x14ac:dyDescent="0.35">
      <c r="A225" t="s">
        <v>4</v>
      </c>
      <c r="B225" t="s">
        <v>5</v>
      </c>
      <c r="C225" t="s">
        <v>178</v>
      </c>
    </row>
    <row r="226" spans="1:3" x14ac:dyDescent="0.35">
      <c r="A226" t="s">
        <v>4</v>
      </c>
      <c r="B226" t="s">
        <v>5</v>
      </c>
      <c r="C226" t="s">
        <v>140</v>
      </c>
    </row>
    <row r="227" spans="1:3" x14ac:dyDescent="0.35">
      <c r="A227" t="s">
        <v>4</v>
      </c>
      <c r="B227" t="s">
        <v>5</v>
      </c>
      <c r="C227" t="s">
        <v>144</v>
      </c>
    </row>
    <row r="228" spans="1:3" x14ac:dyDescent="0.35">
      <c r="A228" t="s">
        <v>4</v>
      </c>
      <c r="B228" t="s">
        <v>5</v>
      </c>
      <c r="C228" t="s">
        <v>146</v>
      </c>
    </row>
    <row r="229" spans="1:3" x14ac:dyDescent="0.35">
      <c r="A229" t="s">
        <v>4</v>
      </c>
      <c r="B229" t="s">
        <v>5</v>
      </c>
      <c r="C229" t="s">
        <v>613</v>
      </c>
    </row>
    <row r="230" spans="1:3" x14ac:dyDescent="0.35">
      <c r="A230" t="s">
        <v>4</v>
      </c>
      <c r="B230" t="s">
        <v>5</v>
      </c>
      <c r="C230" t="s">
        <v>623</v>
      </c>
    </row>
    <row r="231" spans="1:3" x14ac:dyDescent="0.35">
      <c r="A231" t="s">
        <v>4</v>
      </c>
      <c r="B231" t="s">
        <v>5</v>
      </c>
      <c r="C231" t="s">
        <v>625</v>
      </c>
    </row>
    <row r="232" spans="1:3" x14ac:dyDescent="0.35">
      <c r="A232" t="s">
        <v>4</v>
      </c>
      <c r="B232" t="s">
        <v>5</v>
      </c>
      <c r="C232" t="s">
        <v>627</v>
      </c>
    </row>
  </sheetData>
  <autoFilter ref="A1:A361" xr:uid="{E4FB3D47-7329-4257-83F6-8B6ED1F560A3}"/>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974C4-DF98-4FB5-B021-D7BC7F074D1D}">
  <dimension ref="A1:F16"/>
  <sheetViews>
    <sheetView workbookViewId="0">
      <selection activeCell="E2" sqref="E2:E16"/>
    </sheetView>
  </sheetViews>
  <sheetFormatPr defaultRowHeight="14.5" x14ac:dyDescent="0.35"/>
  <cols>
    <col min="1" max="1" width="9.36328125" bestFit="1" customWidth="1"/>
    <col min="2" max="2" width="10.7265625" bestFit="1" customWidth="1"/>
    <col min="3" max="3" width="19.26953125" bestFit="1" customWidth="1"/>
    <col min="4" max="4" width="8.36328125" bestFit="1" customWidth="1"/>
    <col min="6" max="6" width="19.54296875" bestFit="1" customWidth="1"/>
  </cols>
  <sheetData>
    <row r="1" spans="1:6" x14ac:dyDescent="0.35">
      <c r="A1" s="1" t="s">
        <v>0</v>
      </c>
      <c r="B1" s="1" t="s">
        <v>1</v>
      </c>
      <c r="C1" s="1" t="s">
        <v>632</v>
      </c>
      <c r="D1" s="1" t="s">
        <v>631</v>
      </c>
      <c r="E1" s="6" t="s">
        <v>634</v>
      </c>
      <c r="F1" t="s">
        <v>633</v>
      </c>
    </row>
    <row r="2" spans="1:6" x14ac:dyDescent="0.35">
      <c r="A2" t="s">
        <v>4</v>
      </c>
      <c r="B2" t="s">
        <v>21</v>
      </c>
      <c r="C2" t="s">
        <v>22</v>
      </c>
      <c r="D2" s="4">
        <f>(DATE(MID(C2,1,4),MID(C2,6,2),MID(C2,9,2))+TIME(MID(C2,12,2),MID(C2,15,2),MID(C2,18,2))-$F$2)*1440</f>
        <v>6111.0833333339542</v>
      </c>
      <c r="E2">
        <f>D2/1440</f>
        <v>4.2438078703708015</v>
      </c>
      <c r="F2" s="2">
        <v>45665.09097222222</v>
      </c>
    </row>
    <row r="3" spans="1:6" x14ac:dyDescent="0.35">
      <c r="A3" t="s">
        <v>4</v>
      </c>
      <c r="B3" t="s">
        <v>21</v>
      </c>
      <c r="C3" t="s">
        <v>28</v>
      </c>
      <c r="D3" s="4">
        <f t="shared" ref="D3:D16" si="0">(DATE(MID(C3,1,4),MID(C3,6,2),MID(C3,9,2))+TIME(MID(C3,12,2),MID(C3,15,2),MID(C3,18,2))-$F$2)*1440</f>
        <v>1386.9500000041444</v>
      </c>
      <c r="E3">
        <f t="shared" ref="E3:E16" si="1">D3/1440</f>
        <v>0.96315972222510027</v>
      </c>
    </row>
    <row r="4" spans="1:6" x14ac:dyDescent="0.35">
      <c r="A4" t="s">
        <v>4</v>
      </c>
      <c r="B4" t="s">
        <v>21</v>
      </c>
      <c r="C4" t="s">
        <v>30</v>
      </c>
      <c r="D4" s="4">
        <f t="shared" si="0"/>
        <v>1353.0500000005122</v>
      </c>
      <c r="E4">
        <f t="shared" si="1"/>
        <v>0.93961805555591127</v>
      </c>
    </row>
    <row r="5" spans="1:6" x14ac:dyDescent="0.35">
      <c r="A5" t="s">
        <v>4</v>
      </c>
      <c r="B5" t="s">
        <v>21</v>
      </c>
      <c r="C5" t="s">
        <v>58</v>
      </c>
      <c r="D5" s="4">
        <f t="shared" si="0"/>
        <v>1580.5333333380986</v>
      </c>
      <c r="E5">
        <f t="shared" si="1"/>
        <v>1.0975925925959018</v>
      </c>
    </row>
    <row r="6" spans="1:6" x14ac:dyDescent="0.35">
      <c r="A6" t="s">
        <v>4</v>
      </c>
      <c r="B6" t="s">
        <v>21</v>
      </c>
      <c r="C6" t="s">
        <v>64</v>
      </c>
      <c r="D6" s="4">
        <f t="shared" si="0"/>
        <v>821.40000000363216</v>
      </c>
      <c r="E6">
        <f t="shared" si="1"/>
        <v>0.570416666669189</v>
      </c>
    </row>
    <row r="7" spans="1:6" x14ac:dyDescent="0.35">
      <c r="A7" t="s">
        <v>4</v>
      </c>
      <c r="B7" t="s">
        <v>21</v>
      </c>
      <c r="C7" t="s">
        <v>75</v>
      </c>
      <c r="D7" s="4">
        <f t="shared" si="0"/>
        <v>5480.8833333395887</v>
      </c>
      <c r="E7">
        <f t="shared" si="1"/>
        <v>3.8061689814858255</v>
      </c>
    </row>
    <row r="8" spans="1:6" x14ac:dyDescent="0.35">
      <c r="A8" t="s">
        <v>4</v>
      </c>
      <c r="B8" t="s">
        <v>21</v>
      </c>
      <c r="C8" t="s">
        <v>85</v>
      </c>
      <c r="D8" s="4">
        <f t="shared" si="0"/>
        <v>2628.3166666736361</v>
      </c>
      <c r="E8">
        <f t="shared" si="1"/>
        <v>1.8252199074122473</v>
      </c>
    </row>
    <row r="9" spans="1:6" x14ac:dyDescent="0.35">
      <c r="A9" t="s">
        <v>4</v>
      </c>
      <c r="B9" t="s">
        <v>21</v>
      </c>
      <c r="C9" t="s">
        <v>123</v>
      </c>
      <c r="D9" s="4">
        <f t="shared" si="0"/>
        <v>7458.7333333399147</v>
      </c>
      <c r="E9">
        <f t="shared" si="1"/>
        <v>5.1796759259304963</v>
      </c>
    </row>
    <row r="10" spans="1:6" x14ac:dyDescent="0.35">
      <c r="A10" t="s">
        <v>4</v>
      </c>
      <c r="B10" t="s">
        <v>21</v>
      </c>
      <c r="C10" t="s">
        <v>156</v>
      </c>
      <c r="D10" s="4">
        <f t="shared" si="0"/>
        <v>11586.850000005215</v>
      </c>
      <c r="E10">
        <f t="shared" si="1"/>
        <v>8.0464236111147329</v>
      </c>
    </row>
    <row r="11" spans="1:6" x14ac:dyDescent="0.35">
      <c r="A11" t="s">
        <v>4</v>
      </c>
      <c r="B11" t="s">
        <v>21</v>
      </c>
      <c r="C11" t="s">
        <v>158</v>
      </c>
      <c r="D11" s="4">
        <f t="shared" si="0"/>
        <v>11289.216666666325</v>
      </c>
      <c r="E11">
        <f t="shared" si="1"/>
        <v>7.8397337962960592</v>
      </c>
    </row>
    <row r="12" spans="1:6" x14ac:dyDescent="0.35">
      <c r="A12" t="s">
        <v>4</v>
      </c>
      <c r="B12" t="s">
        <v>21</v>
      </c>
      <c r="C12" t="s">
        <v>123</v>
      </c>
      <c r="D12" s="4">
        <f t="shared" si="0"/>
        <v>7458.7333333399147</v>
      </c>
      <c r="E12">
        <f t="shared" si="1"/>
        <v>5.1796759259304963</v>
      </c>
    </row>
    <row r="13" spans="1:6" x14ac:dyDescent="0.35">
      <c r="A13" t="s">
        <v>4</v>
      </c>
      <c r="B13" t="s">
        <v>21</v>
      </c>
      <c r="C13" t="s">
        <v>244</v>
      </c>
      <c r="D13" s="4">
        <f t="shared" si="0"/>
        <v>6604.0500000072643</v>
      </c>
      <c r="E13">
        <f t="shared" si="1"/>
        <v>4.586145833338378</v>
      </c>
    </row>
    <row r="14" spans="1:6" x14ac:dyDescent="0.35">
      <c r="A14" t="s">
        <v>4</v>
      </c>
      <c r="B14" t="s">
        <v>21</v>
      </c>
      <c r="C14" t="s">
        <v>85</v>
      </c>
      <c r="D14" s="4">
        <f t="shared" si="0"/>
        <v>2628.3166666736361</v>
      </c>
      <c r="E14">
        <f t="shared" si="1"/>
        <v>1.8252199074122473</v>
      </c>
    </row>
    <row r="15" spans="1:6" x14ac:dyDescent="0.35">
      <c r="A15" t="s">
        <v>4</v>
      </c>
      <c r="B15" t="s">
        <v>21</v>
      </c>
      <c r="C15" t="s">
        <v>589</v>
      </c>
      <c r="D15" s="4">
        <f t="shared" si="0"/>
        <v>14628.816666668281</v>
      </c>
      <c r="E15">
        <f t="shared" si="1"/>
        <v>10.158900462964084</v>
      </c>
    </row>
    <row r="16" spans="1:6" x14ac:dyDescent="0.35">
      <c r="A16" t="s">
        <v>4</v>
      </c>
      <c r="B16" t="s">
        <v>21</v>
      </c>
      <c r="C16" t="s">
        <v>599</v>
      </c>
      <c r="D16" s="4">
        <f t="shared" si="0"/>
        <v>13291.51666667196</v>
      </c>
      <c r="E16">
        <f t="shared" si="1"/>
        <v>9.2302199074110831</v>
      </c>
    </row>
  </sheetData>
  <autoFilter ref="B1:B16" xr:uid="{B5D974C4-DF98-4FB5-B021-D7BC7F074D1D}"/>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C31AF-8CA7-475A-A59C-200A493AA4C3}">
  <dimension ref="A1:H61"/>
  <sheetViews>
    <sheetView workbookViewId="0">
      <selection activeCell="H6" sqref="H6"/>
    </sheetView>
  </sheetViews>
  <sheetFormatPr defaultRowHeight="14.5" x14ac:dyDescent="0.35"/>
  <cols>
    <col min="1" max="1" width="9.36328125" bestFit="1" customWidth="1"/>
    <col min="2" max="2" width="9.90625" bestFit="1" customWidth="1"/>
    <col min="3" max="3" width="19.26953125" bestFit="1" customWidth="1"/>
    <col min="4" max="4" width="9.36328125" bestFit="1" customWidth="1"/>
    <col min="6" max="6" width="19.54296875" bestFit="1" customWidth="1"/>
    <col min="8" max="8" width="12.453125" bestFit="1" customWidth="1"/>
  </cols>
  <sheetData>
    <row r="1" spans="1:8" x14ac:dyDescent="0.35">
      <c r="A1" s="1" t="s">
        <v>0</v>
      </c>
      <c r="B1" s="1" t="s">
        <v>1</v>
      </c>
      <c r="C1" s="1" t="s">
        <v>632</v>
      </c>
      <c r="D1" s="1" t="s">
        <v>631</v>
      </c>
      <c r="E1" s="6" t="s">
        <v>634</v>
      </c>
      <c r="F1" t="s">
        <v>633</v>
      </c>
    </row>
    <row r="2" spans="1:8" x14ac:dyDescent="0.35">
      <c r="A2" t="s">
        <v>4</v>
      </c>
      <c r="B2" t="s">
        <v>10</v>
      </c>
      <c r="C2" t="s">
        <v>11</v>
      </c>
      <c r="D2" s="4">
        <f>(DATE(MID(C2,1,4),MID(C2,6,2),MID(C2,9,2))+TIME(MID(C2,12,2),MID(C2,15,2),MID(C2,18,2))-$F$2)*1440</f>
        <v>14047.16666666558</v>
      </c>
      <c r="E2">
        <f>D2/1440</f>
        <v>9.7549768518510973</v>
      </c>
      <c r="F2" s="2">
        <v>45665.09097222222</v>
      </c>
    </row>
    <row r="3" spans="1:8" x14ac:dyDescent="0.35">
      <c r="A3" t="s">
        <v>4</v>
      </c>
      <c r="B3" t="s">
        <v>10</v>
      </c>
      <c r="C3" t="s">
        <v>24</v>
      </c>
      <c r="D3" s="4">
        <f t="shared" ref="D3:D61" si="0">(DATE(MID(C3,1,4),MID(C3,6,2),MID(C3,9,2))+TIME(MID(C3,12,2),MID(C3,15,2),MID(C3,18,2))-$F$2)*1440</f>
        <v>2307.9499999992549</v>
      </c>
      <c r="E3">
        <f t="shared" ref="E3:E61" si="1">D3/1440</f>
        <v>1.6027430555550382</v>
      </c>
      <c r="H3" s="2"/>
    </row>
    <row r="4" spans="1:8" x14ac:dyDescent="0.35">
      <c r="A4" t="s">
        <v>4</v>
      </c>
      <c r="B4" t="s">
        <v>10</v>
      </c>
      <c r="C4" t="s">
        <v>32</v>
      </c>
      <c r="D4" s="4">
        <f t="shared" si="0"/>
        <v>1316.0000000044238</v>
      </c>
      <c r="E4">
        <f t="shared" si="1"/>
        <v>0.91388888889196096</v>
      </c>
    </row>
    <row r="5" spans="1:8" x14ac:dyDescent="0.35">
      <c r="A5" t="s">
        <v>4</v>
      </c>
      <c r="B5" t="s">
        <v>10</v>
      </c>
      <c r="C5" t="s">
        <v>34</v>
      </c>
      <c r="D5" s="4">
        <f t="shared" si="0"/>
        <v>1248.3166666701436</v>
      </c>
      <c r="E5">
        <f t="shared" si="1"/>
        <v>0.86688657407648861</v>
      </c>
    </row>
    <row r="6" spans="1:8" x14ac:dyDescent="0.35">
      <c r="A6" t="s">
        <v>4</v>
      </c>
      <c r="B6" t="s">
        <v>10</v>
      </c>
      <c r="C6" t="s">
        <v>36</v>
      </c>
      <c r="D6" s="4">
        <f t="shared" si="0"/>
        <v>1197.2833333408926</v>
      </c>
      <c r="E6">
        <f t="shared" si="1"/>
        <v>0.83144675926450873</v>
      </c>
    </row>
    <row r="7" spans="1:8" x14ac:dyDescent="0.35">
      <c r="A7" t="s">
        <v>4</v>
      </c>
      <c r="B7" t="s">
        <v>10</v>
      </c>
      <c r="C7" t="s">
        <v>42</v>
      </c>
      <c r="D7" s="4">
        <f t="shared" si="0"/>
        <v>1260.7666666677687</v>
      </c>
      <c r="E7">
        <f t="shared" si="1"/>
        <v>0.87553240740817273</v>
      </c>
    </row>
    <row r="8" spans="1:8" x14ac:dyDescent="0.35">
      <c r="A8" t="s">
        <v>4</v>
      </c>
      <c r="B8" t="s">
        <v>10</v>
      </c>
      <c r="C8" t="s">
        <v>46</v>
      </c>
      <c r="D8" s="4">
        <f t="shared" si="0"/>
        <v>1217.9166666674428</v>
      </c>
      <c r="E8">
        <f t="shared" si="1"/>
        <v>0.84577546296350192</v>
      </c>
    </row>
    <row r="9" spans="1:8" x14ac:dyDescent="0.35">
      <c r="A9" t="s">
        <v>4</v>
      </c>
      <c r="B9" t="s">
        <v>10</v>
      </c>
      <c r="C9" t="s">
        <v>52</v>
      </c>
      <c r="D9" s="4">
        <f t="shared" si="0"/>
        <v>61841.199999998789</v>
      </c>
      <c r="E9">
        <f t="shared" si="1"/>
        <v>42.945277777776937</v>
      </c>
    </row>
    <row r="10" spans="1:8" x14ac:dyDescent="0.35">
      <c r="A10" t="s">
        <v>4</v>
      </c>
      <c r="B10" t="s">
        <v>10</v>
      </c>
      <c r="C10" t="s">
        <v>66</v>
      </c>
      <c r="D10" s="4">
        <f t="shared" si="0"/>
        <v>818.58333333861083</v>
      </c>
      <c r="E10">
        <f t="shared" si="1"/>
        <v>0.56846064815181307</v>
      </c>
    </row>
    <row r="11" spans="1:8" x14ac:dyDescent="0.35">
      <c r="A11" t="s">
        <v>4</v>
      </c>
      <c r="B11" t="s">
        <v>10</v>
      </c>
      <c r="C11" t="s">
        <v>87</v>
      </c>
      <c r="D11" s="4">
        <f t="shared" si="0"/>
        <v>961.70000000623986</v>
      </c>
      <c r="E11">
        <f t="shared" si="1"/>
        <v>0.66784722222655546</v>
      </c>
    </row>
    <row r="12" spans="1:8" x14ac:dyDescent="0.35">
      <c r="A12" t="s">
        <v>4</v>
      </c>
      <c r="B12" t="s">
        <v>10</v>
      </c>
      <c r="C12" t="s">
        <v>91</v>
      </c>
      <c r="D12" s="4">
        <f t="shared" si="0"/>
        <v>355.50000000628643</v>
      </c>
      <c r="E12">
        <f t="shared" si="1"/>
        <v>0.24687500000436557</v>
      </c>
    </row>
    <row r="13" spans="1:8" x14ac:dyDescent="0.35">
      <c r="A13" t="s">
        <v>4</v>
      </c>
      <c r="B13" t="s">
        <v>10</v>
      </c>
      <c r="C13" t="s">
        <v>121</v>
      </c>
      <c r="D13" s="4">
        <f t="shared" si="0"/>
        <v>9980.2500000048894</v>
      </c>
      <c r="E13">
        <f t="shared" si="1"/>
        <v>6.9307291666700621</v>
      </c>
    </row>
    <row r="14" spans="1:8" x14ac:dyDescent="0.35">
      <c r="A14" t="s">
        <v>4</v>
      </c>
      <c r="B14" t="s">
        <v>10</v>
      </c>
      <c r="C14" t="s">
        <v>138</v>
      </c>
      <c r="D14" s="4">
        <f t="shared" si="0"/>
        <v>59956.150000003399</v>
      </c>
      <c r="E14">
        <f t="shared" si="1"/>
        <v>41.636215277780138</v>
      </c>
    </row>
    <row r="15" spans="1:8" x14ac:dyDescent="0.35">
      <c r="A15" t="s">
        <v>4</v>
      </c>
      <c r="B15" t="s">
        <v>10</v>
      </c>
      <c r="C15" t="s">
        <v>142</v>
      </c>
      <c r="D15" s="4">
        <f t="shared" si="0"/>
        <v>11223.333333333721</v>
      </c>
      <c r="E15">
        <f t="shared" si="1"/>
        <v>7.793981481481751</v>
      </c>
    </row>
    <row r="16" spans="1:8" x14ac:dyDescent="0.35">
      <c r="A16" t="s">
        <v>4</v>
      </c>
      <c r="B16" t="s">
        <v>10</v>
      </c>
      <c r="C16" t="s">
        <v>148</v>
      </c>
      <c r="D16" s="4">
        <f t="shared" si="0"/>
        <v>6383.8166666671168</v>
      </c>
      <c r="E16">
        <f t="shared" si="1"/>
        <v>4.4332060185188311</v>
      </c>
    </row>
    <row r="17" spans="1:5" x14ac:dyDescent="0.35">
      <c r="A17" t="s">
        <v>4</v>
      </c>
      <c r="B17" t="s">
        <v>10</v>
      </c>
      <c r="C17" t="s">
        <v>150</v>
      </c>
      <c r="D17" s="4">
        <f t="shared" si="0"/>
        <v>5495.4333333356772</v>
      </c>
      <c r="E17">
        <f t="shared" si="1"/>
        <v>3.8162731481497758</v>
      </c>
    </row>
    <row r="18" spans="1:5" x14ac:dyDescent="0.35">
      <c r="A18" t="s">
        <v>4</v>
      </c>
      <c r="B18" t="s">
        <v>10</v>
      </c>
      <c r="C18" t="s">
        <v>162</v>
      </c>
      <c r="D18" s="4">
        <f t="shared" si="0"/>
        <v>820.85000000079162</v>
      </c>
      <c r="E18">
        <f t="shared" si="1"/>
        <v>0.57003472222277196</v>
      </c>
    </row>
    <row r="19" spans="1:5" x14ac:dyDescent="0.35">
      <c r="A19" t="s">
        <v>4</v>
      </c>
      <c r="B19" t="s">
        <v>10</v>
      </c>
      <c r="C19" t="s">
        <v>170</v>
      </c>
      <c r="D19" s="4">
        <f t="shared" si="0"/>
        <v>214.90000000689179</v>
      </c>
      <c r="E19">
        <f t="shared" si="1"/>
        <v>0.14923611111589707</v>
      </c>
    </row>
    <row r="20" spans="1:5" x14ac:dyDescent="0.35">
      <c r="A20" t="s">
        <v>4</v>
      </c>
      <c r="B20" t="s">
        <v>10</v>
      </c>
      <c r="C20" t="s">
        <v>172</v>
      </c>
      <c r="D20" s="4">
        <f t="shared" si="0"/>
        <v>212.06666667130776</v>
      </c>
      <c r="E20">
        <f t="shared" si="1"/>
        <v>0.1472685185217415</v>
      </c>
    </row>
    <row r="21" spans="1:5" x14ac:dyDescent="0.35">
      <c r="A21" t="s">
        <v>4</v>
      </c>
      <c r="B21" t="s">
        <v>10</v>
      </c>
      <c r="C21" t="s">
        <v>180</v>
      </c>
      <c r="D21" s="4">
        <f t="shared" si="0"/>
        <v>164.74999999743886</v>
      </c>
      <c r="E21">
        <f t="shared" si="1"/>
        <v>0.11440972222044365</v>
      </c>
    </row>
    <row r="22" spans="1:5" x14ac:dyDescent="0.35">
      <c r="A22" t="s">
        <v>4</v>
      </c>
      <c r="B22" t="s">
        <v>10</v>
      </c>
      <c r="C22" t="s">
        <v>182</v>
      </c>
      <c r="D22" s="4">
        <f t="shared" si="0"/>
        <v>129.95000000344589</v>
      </c>
      <c r="E22">
        <f t="shared" si="1"/>
        <v>9.0243055557948537E-2</v>
      </c>
    </row>
    <row r="23" spans="1:5" x14ac:dyDescent="0.35">
      <c r="A23" t="s">
        <v>4</v>
      </c>
      <c r="B23" t="s">
        <v>10</v>
      </c>
      <c r="C23" t="s">
        <v>194</v>
      </c>
      <c r="D23" s="4">
        <f t="shared" si="0"/>
        <v>542.36666666460223</v>
      </c>
      <c r="E23">
        <f t="shared" si="1"/>
        <v>0.37664351851708489</v>
      </c>
    </row>
    <row r="24" spans="1:5" x14ac:dyDescent="0.35">
      <c r="A24" t="s">
        <v>4</v>
      </c>
      <c r="B24" t="s">
        <v>10</v>
      </c>
      <c r="C24" t="s">
        <v>196</v>
      </c>
      <c r="D24" s="4">
        <f t="shared" si="0"/>
        <v>462.83333333674818</v>
      </c>
      <c r="E24">
        <f t="shared" si="1"/>
        <v>0.32141203703940846</v>
      </c>
    </row>
    <row r="25" spans="1:5" x14ac:dyDescent="0.35">
      <c r="A25" t="s">
        <v>4</v>
      </c>
      <c r="B25" t="s">
        <v>10</v>
      </c>
      <c r="C25" t="s">
        <v>198</v>
      </c>
      <c r="D25" s="4">
        <f t="shared" si="0"/>
        <v>459.01666666846722</v>
      </c>
      <c r="E25">
        <f t="shared" si="1"/>
        <v>0.31876157407532446</v>
      </c>
    </row>
    <row r="26" spans="1:5" x14ac:dyDescent="0.35">
      <c r="A26" t="s">
        <v>4</v>
      </c>
      <c r="B26" t="s">
        <v>10</v>
      </c>
      <c r="C26" t="s">
        <v>204</v>
      </c>
      <c r="D26" s="4">
        <f t="shared" si="0"/>
        <v>184399.53333333833</v>
      </c>
      <c r="E26">
        <f t="shared" si="1"/>
        <v>128.05523148148495</v>
      </c>
    </row>
    <row r="27" spans="1:5" x14ac:dyDescent="0.35">
      <c r="A27" t="s">
        <v>4</v>
      </c>
      <c r="B27" t="s">
        <v>10</v>
      </c>
      <c r="C27" t="s">
        <v>206</v>
      </c>
      <c r="D27" s="4">
        <f t="shared" si="0"/>
        <v>1711.8833333335351</v>
      </c>
      <c r="E27">
        <f t="shared" si="1"/>
        <v>1.1888078703705105</v>
      </c>
    </row>
    <row r="28" spans="1:5" x14ac:dyDescent="0.35">
      <c r="A28" t="s">
        <v>4</v>
      </c>
      <c r="B28" t="s">
        <v>10</v>
      </c>
      <c r="C28" t="s">
        <v>208</v>
      </c>
      <c r="D28" s="4">
        <f t="shared" si="0"/>
        <v>19057.933333340334</v>
      </c>
      <c r="E28">
        <f t="shared" si="1"/>
        <v>13.234675925930787</v>
      </c>
    </row>
    <row r="29" spans="1:5" x14ac:dyDescent="0.35">
      <c r="A29" t="s">
        <v>4</v>
      </c>
      <c r="B29" t="s">
        <v>10</v>
      </c>
      <c r="C29" t="s">
        <v>210</v>
      </c>
      <c r="D29" s="4">
        <f t="shared" si="0"/>
        <v>15815.616666666465</v>
      </c>
      <c r="E29">
        <f t="shared" si="1"/>
        <v>10.98306712962949</v>
      </c>
    </row>
    <row r="30" spans="1:5" x14ac:dyDescent="0.35">
      <c r="A30" t="s">
        <v>4</v>
      </c>
      <c r="B30" t="s">
        <v>10</v>
      </c>
      <c r="C30" t="s">
        <v>216</v>
      </c>
      <c r="D30" s="4">
        <f t="shared" si="0"/>
        <v>15001.966666672379</v>
      </c>
      <c r="E30">
        <f t="shared" si="1"/>
        <v>10.418032407411374</v>
      </c>
    </row>
    <row r="31" spans="1:5" x14ac:dyDescent="0.35">
      <c r="A31" t="s">
        <v>4</v>
      </c>
      <c r="B31" t="s">
        <v>10</v>
      </c>
      <c r="C31" t="s">
        <v>222</v>
      </c>
      <c r="D31" s="4">
        <f t="shared" si="0"/>
        <v>13903.433333333815</v>
      </c>
      <c r="E31">
        <f t="shared" si="1"/>
        <v>9.6551620370373712</v>
      </c>
    </row>
    <row r="32" spans="1:5" x14ac:dyDescent="0.35">
      <c r="A32" t="s">
        <v>4</v>
      </c>
      <c r="B32" t="s">
        <v>10</v>
      </c>
      <c r="C32" t="s">
        <v>52</v>
      </c>
      <c r="D32" s="4">
        <f t="shared" si="0"/>
        <v>61841.199999998789</v>
      </c>
      <c r="E32">
        <f t="shared" si="1"/>
        <v>42.945277777776937</v>
      </c>
    </row>
    <row r="33" spans="1:5" x14ac:dyDescent="0.35">
      <c r="A33" t="s">
        <v>4</v>
      </c>
      <c r="B33" t="s">
        <v>10</v>
      </c>
      <c r="C33" t="s">
        <v>238</v>
      </c>
      <c r="D33" s="4">
        <f t="shared" si="0"/>
        <v>10871.016666671494</v>
      </c>
      <c r="E33">
        <f t="shared" si="1"/>
        <v>7.549317129632982</v>
      </c>
    </row>
    <row r="34" spans="1:5" x14ac:dyDescent="0.35">
      <c r="A34" t="s">
        <v>4</v>
      </c>
      <c r="B34" t="s">
        <v>10</v>
      </c>
      <c r="C34" t="s">
        <v>121</v>
      </c>
      <c r="D34" s="4">
        <f t="shared" si="0"/>
        <v>9980.2500000048894</v>
      </c>
      <c r="E34">
        <f t="shared" si="1"/>
        <v>6.9307291666700621</v>
      </c>
    </row>
    <row r="35" spans="1:5" x14ac:dyDescent="0.35">
      <c r="A35" t="s">
        <v>4</v>
      </c>
      <c r="B35" t="s">
        <v>10</v>
      </c>
      <c r="C35" t="s">
        <v>268</v>
      </c>
      <c r="D35" s="4">
        <f t="shared" si="0"/>
        <v>7060.5166666663717</v>
      </c>
      <c r="E35">
        <f t="shared" si="1"/>
        <v>4.9031365740738693</v>
      </c>
    </row>
    <row r="36" spans="1:5" x14ac:dyDescent="0.35">
      <c r="A36" t="s">
        <v>4</v>
      </c>
      <c r="B36" t="s">
        <v>10</v>
      </c>
      <c r="C36" t="s">
        <v>567</v>
      </c>
      <c r="D36" s="4">
        <f t="shared" si="0"/>
        <v>22414.500000004191</v>
      </c>
      <c r="E36">
        <f t="shared" si="1"/>
        <v>15.56562500000291</v>
      </c>
    </row>
    <row r="37" spans="1:5" x14ac:dyDescent="0.35">
      <c r="A37" t="s">
        <v>4</v>
      </c>
      <c r="B37" t="s">
        <v>10</v>
      </c>
      <c r="C37" t="s">
        <v>569</v>
      </c>
      <c r="D37" s="4">
        <f t="shared" si="0"/>
        <v>21885.933333338471</v>
      </c>
      <c r="E37">
        <f t="shared" si="1"/>
        <v>15.198564814818383</v>
      </c>
    </row>
    <row r="38" spans="1:5" x14ac:dyDescent="0.35">
      <c r="A38" t="s">
        <v>4</v>
      </c>
      <c r="B38" t="s">
        <v>10</v>
      </c>
      <c r="C38" t="s">
        <v>87</v>
      </c>
      <c r="D38" s="4">
        <f t="shared" si="0"/>
        <v>961.70000000623986</v>
      </c>
      <c r="E38">
        <f t="shared" si="1"/>
        <v>0.66784722222655546</v>
      </c>
    </row>
    <row r="39" spans="1:5" x14ac:dyDescent="0.35">
      <c r="A39" t="s">
        <v>4</v>
      </c>
      <c r="B39" t="s">
        <v>10</v>
      </c>
      <c r="C39" t="s">
        <v>91</v>
      </c>
      <c r="D39" s="4">
        <f t="shared" si="0"/>
        <v>355.50000000628643</v>
      </c>
      <c r="E39">
        <f t="shared" si="1"/>
        <v>0.24687500000436557</v>
      </c>
    </row>
    <row r="40" spans="1:5" x14ac:dyDescent="0.35">
      <c r="A40" t="s">
        <v>4</v>
      </c>
      <c r="B40" t="s">
        <v>10</v>
      </c>
      <c r="C40" t="s">
        <v>575</v>
      </c>
      <c r="D40" s="4">
        <f t="shared" si="0"/>
        <v>21160.866666671354</v>
      </c>
      <c r="E40">
        <f t="shared" si="1"/>
        <v>14.695046296299552</v>
      </c>
    </row>
    <row r="41" spans="1:5" x14ac:dyDescent="0.35">
      <c r="A41" t="s">
        <v>4</v>
      </c>
      <c r="B41" t="s">
        <v>10</v>
      </c>
      <c r="C41" t="s">
        <v>581</v>
      </c>
      <c r="D41" s="4">
        <f t="shared" si="0"/>
        <v>19360.433333331021</v>
      </c>
      <c r="E41">
        <f t="shared" si="1"/>
        <v>13.444745370368764</v>
      </c>
    </row>
    <row r="42" spans="1:5" x14ac:dyDescent="0.35">
      <c r="A42" t="s">
        <v>4</v>
      </c>
      <c r="B42" t="s">
        <v>10</v>
      </c>
      <c r="C42" t="s">
        <v>583</v>
      </c>
      <c r="D42" s="4">
        <f t="shared" si="0"/>
        <v>16753.016666671028</v>
      </c>
      <c r="E42">
        <f t="shared" si="1"/>
        <v>11.634039351854881</v>
      </c>
    </row>
    <row r="43" spans="1:5" x14ac:dyDescent="0.35">
      <c r="A43" t="s">
        <v>4</v>
      </c>
      <c r="B43" t="s">
        <v>10</v>
      </c>
      <c r="C43" t="s">
        <v>585</v>
      </c>
      <c r="D43" s="4">
        <f t="shared" si="0"/>
        <v>15813.800000004703</v>
      </c>
      <c r="E43">
        <f t="shared" si="1"/>
        <v>10.981805555558822</v>
      </c>
    </row>
    <row r="44" spans="1:5" x14ac:dyDescent="0.35">
      <c r="A44" t="s">
        <v>4</v>
      </c>
      <c r="B44" t="s">
        <v>10</v>
      </c>
      <c r="C44" t="s">
        <v>587</v>
      </c>
      <c r="D44" s="4">
        <f t="shared" si="0"/>
        <v>15132.316666664556</v>
      </c>
      <c r="E44">
        <f t="shared" si="1"/>
        <v>10.508553240739275</v>
      </c>
    </row>
    <row r="45" spans="1:5" x14ac:dyDescent="0.35">
      <c r="A45" t="s">
        <v>4</v>
      </c>
      <c r="B45" t="s">
        <v>10</v>
      </c>
      <c r="C45" t="s">
        <v>593</v>
      </c>
      <c r="D45" s="4">
        <f t="shared" si="0"/>
        <v>14215.583333338145</v>
      </c>
      <c r="E45">
        <f t="shared" si="1"/>
        <v>9.8719328703737119</v>
      </c>
    </row>
    <row r="46" spans="1:5" x14ac:dyDescent="0.35">
      <c r="A46" t="s">
        <v>4</v>
      </c>
      <c r="B46" t="s">
        <v>10</v>
      </c>
      <c r="C46" t="s">
        <v>597</v>
      </c>
      <c r="D46" s="4">
        <f t="shared" si="0"/>
        <v>13489.450000006473</v>
      </c>
      <c r="E46">
        <f t="shared" si="1"/>
        <v>9.367673611115606</v>
      </c>
    </row>
    <row r="47" spans="1:5" x14ac:dyDescent="0.35">
      <c r="A47" t="s">
        <v>4</v>
      </c>
      <c r="B47" t="s">
        <v>10</v>
      </c>
      <c r="C47" t="s">
        <v>601</v>
      </c>
      <c r="D47" s="4">
        <f t="shared" si="0"/>
        <v>12949.333333333489</v>
      </c>
      <c r="E47">
        <f t="shared" si="1"/>
        <v>8.9925925925927004</v>
      </c>
    </row>
    <row r="48" spans="1:5" x14ac:dyDescent="0.35">
      <c r="A48" t="s">
        <v>4</v>
      </c>
      <c r="B48" t="s">
        <v>10</v>
      </c>
      <c r="C48" t="s">
        <v>603</v>
      </c>
      <c r="D48" s="4">
        <f t="shared" si="0"/>
        <v>12917.633333330741</v>
      </c>
      <c r="E48">
        <f t="shared" si="1"/>
        <v>8.9705787037019036</v>
      </c>
    </row>
    <row r="49" spans="1:5" x14ac:dyDescent="0.35">
      <c r="A49" t="s">
        <v>4</v>
      </c>
      <c r="B49" t="s">
        <v>10</v>
      </c>
      <c r="C49" t="s">
        <v>605</v>
      </c>
      <c r="D49" s="4">
        <f t="shared" si="0"/>
        <v>12865.216666669585</v>
      </c>
      <c r="E49">
        <f t="shared" si="1"/>
        <v>8.9341782407427672</v>
      </c>
    </row>
    <row r="50" spans="1:5" x14ac:dyDescent="0.35">
      <c r="A50" t="s">
        <v>4</v>
      </c>
      <c r="B50" t="s">
        <v>10</v>
      </c>
      <c r="C50" t="s">
        <v>180</v>
      </c>
      <c r="D50" s="4">
        <f t="shared" si="0"/>
        <v>164.74999999743886</v>
      </c>
      <c r="E50">
        <f t="shared" si="1"/>
        <v>0.11440972222044365</v>
      </c>
    </row>
    <row r="51" spans="1:5" x14ac:dyDescent="0.35">
      <c r="A51" t="s">
        <v>4</v>
      </c>
      <c r="B51" t="s">
        <v>10</v>
      </c>
      <c r="C51" t="s">
        <v>182</v>
      </c>
      <c r="D51" s="4">
        <f t="shared" si="0"/>
        <v>129.95000000344589</v>
      </c>
      <c r="E51">
        <f t="shared" si="1"/>
        <v>9.0243055557948537E-2</v>
      </c>
    </row>
    <row r="52" spans="1:5" x14ac:dyDescent="0.35">
      <c r="A52" t="s">
        <v>4</v>
      </c>
      <c r="B52" t="s">
        <v>10</v>
      </c>
      <c r="C52" t="s">
        <v>138</v>
      </c>
      <c r="D52" s="4">
        <f t="shared" si="0"/>
        <v>59956.150000003399</v>
      </c>
      <c r="E52">
        <f t="shared" si="1"/>
        <v>41.636215277780138</v>
      </c>
    </row>
    <row r="53" spans="1:5" x14ac:dyDescent="0.35">
      <c r="A53" t="s">
        <v>4</v>
      </c>
      <c r="B53" t="s">
        <v>10</v>
      </c>
      <c r="C53" t="s">
        <v>142</v>
      </c>
      <c r="D53" s="4">
        <f t="shared" si="0"/>
        <v>11223.333333333721</v>
      </c>
      <c r="E53">
        <f t="shared" si="1"/>
        <v>7.793981481481751</v>
      </c>
    </row>
    <row r="54" spans="1:5" x14ac:dyDescent="0.35">
      <c r="A54" t="s">
        <v>4</v>
      </c>
      <c r="B54" t="s">
        <v>10</v>
      </c>
      <c r="C54" t="s">
        <v>148</v>
      </c>
      <c r="D54" s="4">
        <f t="shared" si="0"/>
        <v>6383.8166666671168</v>
      </c>
      <c r="E54">
        <f t="shared" si="1"/>
        <v>4.4332060185188311</v>
      </c>
    </row>
    <row r="55" spans="1:5" x14ac:dyDescent="0.35">
      <c r="A55" t="s">
        <v>4</v>
      </c>
      <c r="B55" t="s">
        <v>10</v>
      </c>
      <c r="C55" t="s">
        <v>150</v>
      </c>
      <c r="D55" s="4">
        <f t="shared" si="0"/>
        <v>5495.4333333356772</v>
      </c>
      <c r="E55">
        <f t="shared" si="1"/>
        <v>3.8162731481497758</v>
      </c>
    </row>
    <row r="56" spans="1:5" x14ac:dyDescent="0.35">
      <c r="A56" t="s">
        <v>4</v>
      </c>
      <c r="B56" t="s">
        <v>10</v>
      </c>
      <c r="C56" t="s">
        <v>611</v>
      </c>
      <c r="D56" s="4">
        <f t="shared" si="0"/>
        <v>4368.9333333307877</v>
      </c>
      <c r="E56">
        <f t="shared" si="1"/>
        <v>3.0339814814797137</v>
      </c>
    </row>
    <row r="57" spans="1:5" x14ac:dyDescent="0.35">
      <c r="A57" t="s">
        <v>4</v>
      </c>
      <c r="B57" t="s">
        <v>10</v>
      </c>
      <c r="C57" t="s">
        <v>615</v>
      </c>
      <c r="D57" s="4">
        <f t="shared" si="0"/>
        <v>11798.16666666884</v>
      </c>
      <c r="E57">
        <f t="shared" si="1"/>
        <v>8.1931712962978054</v>
      </c>
    </row>
    <row r="58" spans="1:5" x14ac:dyDescent="0.35">
      <c r="A58" t="s">
        <v>4</v>
      </c>
      <c r="B58" t="s">
        <v>10</v>
      </c>
      <c r="C58" t="s">
        <v>617</v>
      </c>
      <c r="D58" s="4">
        <f t="shared" si="0"/>
        <v>1258.1833333382383</v>
      </c>
      <c r="E58">
        <f t="shared" si="1"/>
        <v>0.87373842592933215</v>
      </c>
    </row>
    <row r="59" spans="1:5" x14ac:dyDescent="0.35">
      <c r="A59" t="s">
        <v>4</v>
      </c>
      <c r="B59" t="s">
        <v>10</v>
      </c>
      <c r="C59" t="s">
        <v>619</v>
      </c>
      <c r="D59" s="4">
        <f t="shared" si="0"/>
        <v>1184.800000002142</v>
      </c>
      <c r="E59">
        <f t="shared" si="1"/>
        <v>0.82277777777926531</v>
      </c>
    </row>
    <row r="60" spans="1:5" x14ac:dyDescent="0.35">
      <c r="A60" t="s">
        <v>4</v>
      </c>
      <c r="B60" t="s">
        <v>10</v>
      </c>
      <c r="C60" t="s">
        <v>621</v>
      </c>
      <c r="D60" s="4">
        <f t="shared" si="0"/>
        <v>304.71666667261161</v>
      </c>
      <c r="E60">
        <f t="shared" si="1"/>
        <v>0.21160879630042473</v>
      </c>
    </row>
    <row r="61" spans="1:5" x14ac:dyDescent="0.35">
      <c r="A61" t="s">
        <v>4</v>
      </c>
      <c r="B61" t="s">
        <v>10</v>
      </c>
      <c r="C61" t="s">
        <v>629</v>
      </c>
      <c r="D61" s="4">
        <f t="shared" si="0"/>
        <v>196.96666667237878</v>
      </c>
      <c r="E61">
        <f t="shared" si="1"/>
        <v>0.13678240741137415</v>
      </c>
    </row>
  </sheetData>
  <autoFilter ref="B1:B61" xr:uid="{035C31AF-8CA7-475A-A59C-200A493AA4C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Comments</vt:lpstr>
      <vt:lpstr>Detection</vt:lpstr>
      <vt:lpstr>Notification</vt:lpstr>
      <vt:lpstr>Preparation</vt:lpstr>
      <vt:lpstr>Evacuation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Uzair Hammad</cp:lastModifiedBy>
  <dcterms:created xsi:type="dcterms:W3CDTF">2026-01-05T00:56:53Z</dcterms:created>
  <dcterms:modified xsi:type="dcterms:W3CDTF">2026-01-08T23:04:00Z</dcterms:modified>
</cp:coreProperties>
</file>